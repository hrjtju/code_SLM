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能耗模型"/>
  </sheets>
  <calcPr fullCalcOnLoad="1"/>
</workbook>
</file>

<file path=xl/sharedStrings.xml><?xml version="1.0" encoding="utf-8"?>
<sst xmlns="http://schemas.openxmlformats.org/spreadsheetml/2006/main" count="186" uniqueCount="110">
  <si>
    <t>Process parameter</t>
  </si>
  <si>
    <t>Time Model</t>
  </si>
  <si>
    <t>Boder</t>
  </si>
  <si>
    <t>Fill contour</t>
  </si>
  <si>
    <t>Volume hating</t>
  </si>
  <si>
    <t>Support Structure</t>
  </si>
  <si>
    <t>Subprocesses</t>
  </si>
  <si>
    <t>Parameter</t>
  </si>
  <si>
    <t>Time</t>
  </si>
  <si>
    <t>Laser power[w]</t>
  </si>
  <si>
    <t>Preheating</t>
  </si>
  <si>
    <t>Initial oxygen level</t>
  </si>
  <si>
    <t>Gas  filling time[s]</t>
  </si>
  <si>
    <t>Laser scanning speed[mm/s]</t>
  </si>
  <si>
    <t>Final oxygen level</t>
  </si>
  <si>
    <t>Layer thickness[mm]</t>
  </si>
  <si>
    <t>Initial preheating temperature</t>
  </si>
  <si>
    <t>Preheating time[s]</t>
  </si>
  <si>
    <t>Hatch distance[mm]</t>
  </si>
  <si>
    <t>/</t>
  </si>
  <si>
    <t>Final preheating temperature</t>
  </si>
  <si>
    <t>initial preheating temperature[℃]</t>
  </si>
  <si>
    <t>Building</t>
  </si>
  <si>
    <t>Part surface area[mm3]</t>
  </si>
  <si>
    <t>Time to scaning border[s]</t>
  </si>
  <si>
    <t>final preheating temperature[℃]</t>
  </si>
  <si>
    <t>Number of lasers</t>
  </si>
  <si>
    <t>Inital cooling temperature[℃]</t>
  </si>
  <si>
    <t>Scanning speed[mm/s]</t>
  </si>
  <si>
    <t>Final cooling temperature[℃]</t>
  </si>
  <si>
    <t>Time to filling contour[s]</t>
  </si>
  <si>
    <t>number of lasers</t>
  </si>
  <si>
    <t>Machine parameter</t>
  </si>
  <si>
    <t>Batch parameter</t>
  </si>
  <si>
    <t>The power of every subsystems</t>
  </si>
  <si>
    <t>Part surface area[mm2]</t>
  </si>
  <si>
    <t>Basic Subsystems[w]</t>
  </si>
  <si>
    <t>Part volume[mm3]</t>
  </si>
  <si>
    <t>Time to build part[s]</t>
  </si>
  <si>
    <t>Platform heater (full run)[w]</t>
  </si>
  <si>
    <t>Volume of supports[mm3]</t>
  </si>
  <si>
    <t>Build rate[mm3/s]</t>
  </si>
  <si>
    <t>Platform heater (intermittenly run)[w]</t>
  </si>
  <si>
    <t>number of slices</t>
  </si>
  <si>
    <t>Support volume[mm3]</t>
  </si>
  <si>
    <t>Time to build support[s]</t>
  </si>
  <si>
    <t>Water cooling unit[w]</t>
  </si>
  <si>
    <t>build rate[mm3/s]</t>
  </si>
  <si>
    <t>Water circulation unit[w]</t>
  </si>
  <si>
    <t>Linear fit parameters</t>
  </si>
  <si>
    <t>RecoatING&amp;#10;</t>
  </si>
  <si>
    <t>Recoating time for a layer[s]</t>
  </si>
  <si>
    <t>Recoating time[s]</t>
  </si>
  <si>
    <t>Recoater motore[w]</t>
  </si>
  <si>
    <t>Parameter of time model</t>
  </si>
  <si>
    <t>Electric valves[w]</t>
  </si>
  <si>
    <t>C</t>
  </si>
  <si>
    <t>Filling gas time t0=-Cln©_0-D，t1=-Cln©_1-D</t>
  </si>
  <si>
    <t>Cooling</t>
  </si>
  <si>
    <t>Inital cooling temperature</t>
  </si>
  <si>
    <t>Cooling time[s]</t>
  </si>
  <si>
    <t>Gas circulation pump motor[w]</t>
  </si>
  <si>
    <t>D</t>
  </si>
  <si>
    <t>delta t=t1-t0,©_0 is the initial oxygen level，©_1 is the final oxygen level</t>
  </si>
  <si>
    <t>Final cooling temperature</t>
  </si>
  <si>
    <t>Inital oxygen level[%]</t>
  </si>
  <si>
    <t>E</t>
  </si>
  <si>
    <t>Preheating time t0=E*T0^2+F*T1-G</t>
  </si>
  <si>
    <t>Total time[s]</t>
  </si>
  <si>
    <t>Final oxygen level{%]</t>
  </si>
  <si>
    <t>F</t>
  </si>
  <si>
    <t>t1=E*T0^2+F*T1-G   Delta t=t1-t0</t>
  </si>
  <si>
    <t>Recoater time[s]</t>
  </si>
  <si>
    <t>G</t>
  </si>
  <si>
    <t>T0 is the inital preheating temperature，T1 is the final preheating temperature</t>
  </si>
  <si>
    <t>Number of laser</t>
  </si>
  <si>
    <t>H</t>
  </si>
  <si>
    <t xml:space="preserve"> Cooling time t0=H*T2^2-I*T2+J</t>
  </si>
  <si>
    <t>Power coefficient</t>
  </si>
  <si>
    <t>I</t>
  </si>
  <si>
    <t>t1=H*T2^2-I*T2+J  Delta t=t1-t0</t>
  </si>
  <si>
    <t>Basic subsystem&amp;#10;</t>
  </si>
  <si>
    <t>J</t>
  </si>
  <si>
    <t>T2 is the initial cooling temperature，T3 is the final temperature</t>
  </si>
  <si>
    <t>Energy Model</t>
  </si>
  <si>
    <t>Parmeters of energy model</t>
  </si>
  <si>
    <t>Subsystems</t>
  </si>
  <si>
    <t>Time/s</t>
  </si>
  <si>
    <t>Power/w</t>
  </si>
  <si>
    <t>Energy consumption/J</t>
  </si>
  <si>
    <t>Recoating</t>
  </si>
  <si>
    <t>A</t>
  </si>
  <si>
    <t>PL = n(A + BPLo)    n is the number of lasers</t>
  </si>
  <si>
    <t>Basic subsystems</t>
  </si>
  <si>
    <t>B</t>
  </si>
  <si>
    <t>PL0 is the laser power, PL is the actual power consumed by the laser</t>
  </si>
  <si>
    <t>Platform heater&amp;#10;</t>
  </si>
  <si>
    <t>Water circulation&amp;#10;</t>
  </si>
  <si>
    <t>注：Red fonts represent the variables that require experimental measurement</t>
  </si>
  <si>
    <t>Water cooling unit&amp;#10;</t>
  </si>
  <si>
    <t>Laser-scanning &amp;#10;</t>
  </si>
  <si>
    <t>Laser</t>
  </si>
  <si>
    <t>scanning border</t>
  </si>
  <si>
    <t>Recoater motor&amp;#10;</t>
  </si>
  <si>
    <t>filling contour</t>
  </si>
  <si>
    <t>volume hatching</t>
  </si>
  <si>
    <t>supports building</t>
  </si>
  <si>
    <t>Eletctric valves&amp;#10;</t>
  </si>
  <si>
    <t>Gas circulation pump motor&amp;#10;</t>
  </si>
  <si>
    <t>Total energy consumption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</si>
</sst>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"/>
  </numFmts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仿宋"/>
      <family val="2"/>
    </font>
    <font>
      <sz val="11"/>
      <color rgb="FF000000"/>
      <name val="等线"/>
      <family val="2"/>
    </font>
    <font>
      <sz val="11"/>
      <color theme="1"/>
      <name val="Calibri"/>
      <family val="2"/>
    </font>
    <font>
      <sz val="11"/>
      <color rgb="FFff0000"/>
      <name val="等线"/>
      <family val="2"/>
    </font>
    <font>
      <b/>
      <sz val="11"/>
      <color rgb="FF000000"/>
      <name val="等线"/>
      <family val="2"/>
    </font>
    <font>
      <sz val="11"/>
      <color rgb="FF000000"/>
      <name val="等线 (正文)"/>
      <family val="2"/>
    </font>
    <font>
      <sz val="11"/>
      <color rgb="FFff0000"/>
      <name val="等线 (正文)"/>
      <family val="2"/>
    </font>
  </fonts>
  <fills count="9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ffc7ce"/>
      </patternFill>
    </fill>
    <fill>
      <patternFill patternType="solid">
        <fgColor rgb="FFffe699"/>
      </patternFill>
    </fill>
    <fill>
      <patternFill patternType="solid">
        <fgColor rgb="FFdeebf7"/>
      </patternFill>
    </fill>
    <fill>
      <patternFill patternType="solid">
        <fgColor rgb="FFffffff"/>
      </patternFill>
    </fill>
    <fill>
      <patternFill patternType="solid">
        <fgColor rgb="FFc9c9c9"/>
      </patternFill>
    </fill>
    <fill>
      <patternFill patternType="solid">
        <fgColor rgb="FFbdd7ee"/>
      </patternFill>
    </fill>
  </fills>
  <borders count="53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4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2" applyFill="1" applyAlignment="1">
      <alignment horizontal="center" wrapText="1"/>
    </xf>
    <xf xfId="0" numFmtId="0" borderId="2" applyBorder="1" fontId="1" applyFont="1" fillId="2" applyFill="1" applyAlignment="1">
      <alignment horizontal="center" wrapText="1"/>
    </xf>
    <xf xfId="0" numFmtId="3" applyNumberFormat="1" borderId="2" applyBorder="1" fontId="1" applyFont="1" fillId="2" applyFill="1" applyAlignment="1">
      <alignment horizontal="center" wrapText="1"/>
    </xf>
    <xf xfId="0" numFmtId="4" applyNumberFormat="1" borderId="2" applyBorder="1" fontId="1" applyFont="1" fillId="2" applyFill="1" applyAlignment="1">
      <alignment horizontal="center" wrapText="1"/>
    </xf>
    <xf xfId="0" numFmtId="4" applyNumberFormat="1" borderId="3" applyBorder="1" fontId="1" applyFont="1" fillId="2" applyFill="1" applyAlignment="1">
      <alignment horizontal="center" wrapText="1"/>
    </xf>
    <xf xfId="0" numFmtId="0" borderId="4" applyBorder="1" fontId="1" applyFont="1" fillId="3" applyFill="1" applyAlignment="1">
      <alignment horizontal="center"/>
    </xf>
    <xf xfId="0" numFmtId="0" borderId="5" applyBorder="1" fontId="1" applyFont="1" fillId="3" applyFill="1" applyAlignment="1">
      <alignment horizontal="center"/>
    </xf>
    <xf xfId="0" numFmtId="3" applyNumberFormat="1" borderId="5" applyBorder="1" fontId="1" applyFont="1" fillId="3" applyFill="1" applyAlignment="1">
      <alignment horizontal="center"/>
    </xf>
    <xf xfId="0" numFmtId="3" applyNumberFormat="1" borderId="6" applyBorder="1" fontId="1" applyFont="1" fillId="3" applyFill="1" applyAlignment="1">
      <alignment horizontal="center"/>
    </xf>
    <xf xfId="0" numFmtId="0" borderId="7" applyBorder="1" fontId="2" applyFont="1" fillId="0" applyAlignment="1">
      <alignment horizontal="center"/>
    </xf>
    <xf xfId="0" numFmtId="0" borderId="8" applyBorder="1" fontId="2" applyFont="1" fillId="0" applyAlignment="1">
      <alignment horizontal="center"/>
    </xf>
    <xf xfId="0" numFmtId="3" applyNumberFormat="1" borderId="9" applyBorder="1" fontId="2" applyFont="1" fillId="0" applyAlignment="1">
      <alignment horizontal="left"/>
    </xf>
    <xf xfId="0" numFmtId="4" applyNumberFormat="1" borderId="9" applyBorder="1" fontId="2" applyFont="1" fillId="0" applyAlignment="1">
      <alignment horizontal="left"/>
    </xf>
    <xf xfId="0" numFmtId="4" applyNumberFormat="1" borderId="10" applyBorder="1" fontId="2" applyFont="1" fillId="0" applyAlignment="1">
      <alignment horizontal="left"/>
    </xf>
    <xf xfId="0" numFmtId="0" borderId="11" applyBorder="1" fontId="2" applyFont="1" fillId="0" applyAlignment="1">
      <alignment horizontal="center"/>
    </xf>
    <xf xfId="0" numFmtId="0" borderId="12" applyBorder="1" fontId="2" applyFont="1" fillId="0" applyAlignment="1">
      <alignment horizontal="center"/>
    </xf>
    <xf xfId="0" numFmtId="0" borderId="11" applyBorder="1" fontId="3" applyFont="1" fillId="0" applyAlignment="1">
      <alignment horizontal="center" wrapText="1"/>
    </xf>
    <xf xfId="0" numFmtId="3" applyNumberFormat="1" borderId="13" applyBorder="1" fontId="3" applyFont="1" fillId="0" applyAlignment="1">
      <alignment horizontal="center" wrapText="1"/>
    </xf>
    <xf xfId="0" numFmtId="3" applyNumberFormat="1" borderId="14" applyBorder="1" fontId="3" applyFont="1" fillId="0" applyAlignment="1">
      <alignment horizontal="center" wrapText="1"/>
    </xf>
    <xf xfId="0" numFmtId="3" applyNumberFormat="1" borderId="15" applyBorder="1" fontId="3" applyFont="1" fillId="0" applyAlignment="1">
      <alignment horizontal="center" wrapText="1"/>
    </xf>
    <xf xfId="0" numFmtId="0" borderId="16" applyBorder="1" fontId="2" applyFont="1" fillId="0" applyAlignment="1">
      <alignment horizontal="center" wrapText="1"/>
    </xf>
    <xf xfId="0" numFmtId="0" borderId="17" applyBorder="1" fontId="2" applyFont="1" fillId="0" applyAlignment="1">
      <alignment horizontal="center" wrapText="1"/>
    </xf>
    <xf xfId="0" numFmtId="3" applyNumberFormat="1" borderId="18" applyBorder="1" fontId="2" applyFont="1" fillId="0" applyAlignment="1">
      <alignment horizontal="right" wrapText="1"/>
    </xf>
    <xf xfId="0" numFmtId="3" applyNumberFormat="1" borderId="19" applyBorder="1" fontId="2" applyFont="1" fillId="0" applyAlignment="1">
      <alignment horizontal="right" wrapText="1"/>
    </xf>
    <xf xfId="0" numFmtId="0" borderId="16" applyBorder="1" fontId="3" applyFont="1" fillId="0" applyAlignment="1">
      <alignment horizontal="center" vertical="top" wrapText="1"/>
    </xf>
    <xf xfId="0" numFmtId="0" borderId="20" applyBorder="1" fontId="3" applyFont="1" fillId="0" applyAlignment="1">
      <alignment horizontal="center" wrapText="1"/>
    </xf>
    <xf xfId="0" numFmtId="0" borderId="21" applyBorder="1" fontId="3" applyFont="1" fillId="0" applyAlignment="1">
      <alignment horizontal="left" wrapText="1"/>
    </xf>
    <xf xfId="0" numFmtId="164" applyNumberFormat="1" borderId="22" applyBorder="1" fontId="3" applyFont="1" fillId="0" applyAlignment="1">
      <alignment horizontal="right" wrapText="1"/>
    </xf>
    <xf xfId="0" numFmtId="3" applyNumberFormat="1" borderId="22" applyBorder="1" fontId="3" applyFont="1" fillId="0" applyAlignment="1">
      <alignment horizontal="center" vertical="top" wrapText="1"/>
    </xf>
    <xf xfId="0" numFmtId="3" applyNumberFormat="1" borderId="10" applyBorder="1" fontId="3" applyFont="1" fillId="0" applyAlignment="1">
      <alignment horizontal="center" vertical="top"/>
    </xf>
    <xf xfId="0" numFmtId="0" borderId="23" applyBorder="1" fontId="2" applyFont="1" fillId="0" applyAlignment="1">
      <alignment horizontal="center" wrapText="1"/>
    </xf>
    <xf xfId="0" numFmtId="0" borderId="24" applyBorder="1" fontId="2" applyFont="1" fillId="0" applyAlignment="1">
      <alignment horizontal="center" wrapText="1"/>
    </xf>
    <xf xfId="0" numFmtId="0" borderId="23" applyBorder="1" fontId="3" applyFont="1" fillId="0" applyAlignment="1">
      <alignment horizontal="center" wrapText="1"/>
    </xf>
    <xf xfId="0" numFmtId="0" borderId="25" applyBorder="1" fontId="3" applyFont="1" fillId="0" applyAlignment="1">
      <alignment horizontal="center" wrapText="1"/>
    </xf>
    <xf xfId="0" numFmtId="0" borderId="26" applyBorder="1" fontId="3" applyFont="1" fillId="0" applyAlignment="1">
      <alignment horizontal="left" wrapText="1"/>
    </xf>
    <xf xfId="0" numFmtId="164" applyNumberFormat="1" borderId="27" applyBorder="1" fontId="3" applyFont="1" fillId="0" applyAlignment="1">
      <alignment horizontal="right" wrapText="1"/>
    </xf>
    <xf xfId="0" numFmtId="3" applyNumberFormat="1" borderId="27" applyBorder="1" fontId="3" applyFont="1" fillId="0" applyAlignment="1">
      <alignment horizontal="center" wrapText="1"/>
    </xf>
    <xf xfId="0" numFmtId="3" applyNumberFormat="1" borderId="10" applyBorder="1" fontId="3" applyFont="1" fillId="0" applyAlignment="1">
      <alignment horizontal="center"/>
    </xf>
    <xf xfId="0" numFmtId="4" applyNumberFormat="1" borderId="18" applyBorder="1" fontId="2" applyFont="1" fillId="0" applyAlignment="1">
      <alignment horizontal="right" wrapText="1"/>
    </xf>
    <xf xfId="0" numFmtId="4" applyNumberFormat="1" borderId="19" applyBorder="1" fontId="2" applyFont="1" fillId="0" applyAlignment="1">
      <alignment horizontal="right" wrapText="1"/>
    </xf>
    <xf xfId="0" numFmtId="0" borderId="12" applyBorder="1" fontId="3" applyFont="1" fillId="0" applyAlignment="1">
      <alignment horizontal="center" wrapText="1"/>
    </xf>
    <xf xfId="0" numFmtId="3" applyNumberFormat="1" borderId="28" applyBorder="1" fontId="2" applyFont="1" fillId="0" applyAlignment="1">
      <alignment horizontal="center"/>
    </xf>
    <xf xfId="0" numFmtId="4" applyNumberFormat="1" borderId="28" applyBorder="1" fontId="2" applyFont="1" fillId="0" applyAlignment="1">
      <alignment horizontal="center"/>
    </xf>
    <xf xfId="0" numFmtId="4" applyNumberFormat="1" borderId="25" applyBorder="1" fontId="2" applyFont="1" fillId="0" applyAlignment="1">
      <alignment horizontal="left"/>
    </xf>
    <xf xfId="0" numFmtId="0" borderId="23" applyBorder="1" fontId="2" applyFont="1" fillId="0" applyAlignment="1">
      <alignment horizontal="center"/>
    </xf>
    <xf xfId="0" numFmtId="0" borderId="24" applyBorder="1" fontId="2" applyFont="1" fillId="0" applyAlignment="1">
      <alignment horizontal="center"/>
    </xf>
    <xf xfId="0" numFmtId="0" borderId="29" applyBorder="1" fontId="3" applyFont="1" fillId="0" applyAlignment="1">
      <alignment horizontal="left" wrapText="1"/>
    </xf>
    <xf xfId="0" numFmtId="164" applyNumberFormat="1" borderId="18" applyBorder="1" fontId="3" applyFont="1" fillId="0" applyAlignment="1">
      <alignment horizontal="right" wrapText="1"/>
    </xf>
    <xf xfId="0" numFmtId="3" applyNumberFormat="1" borderId="18" applyBorder="1" fontId="3" applyFont="1" fillId="0" applyAlignment="1">
      <alignment horizontal="center" wrapText="1"/>
    </xf>
    <xf xfId="0" numFmtId="0" borderId="30" applyBorder="1" fontId="2" applyFont="1" fillId="0" applyAlignment="1">
      <alignment horizontal="center"/>
    </xf>
    <xf xfId="0" numFmtId="0" borderId="31" applyBorder="1" fontId="2" applyFont="1" fillId="0" applyAlignment="1">
      <alignment horizontal="center"/>
    </xf>
    <xf xfId="0" numFmtId="3" applyNumberFormat="1" borderId="32" applyBorder="1" fontId="2" applyFont="1" fillId="0" applyAlignment="1">
      <alignment horizontal="center"/>
    </xf>
    <xf xfId="0" numFmtId="4" applyNumberFormat="1" borderId="32" applyBorder="1" fontId="2" applyFont="1" fillId="0" applyAlignment="1">
      <alignment horizontal="center"/>
    </xf>
    <xf xfId="0" numFmtId="4" applyNumberFormat="1" borderId="33" applyBorder="1" fontId="2" applyFont="1" fillId="0" applyAlignment="1">
      <alignment horizontal="lef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4" applyBorder="1" fontId="1" applyFont="1" fillId="4" applyFill="1" applyAlignment="1">
      <alignment horizontal="center"/>
    </xf>
    <xf xfId="0" numFmtId="0" borderId="5" applyBorder="1" fontId="1" applyFont="1" fillId="4" applyFill="1" applyAlignment="1">
      <alignment horizontal="center"/>
    </xf>
    <xf xfId="0" numFmtId="3" applyNumberFormat="1" borderId="6" applyBorder="1" fontId="1" applyFont="1" fillId="4" applyFill="1" applyAlignment="1">
      <alignment horizontal="center"/>
    </xf>
    <xf xfId="0" numFmtId="4" applyNumberFormat="1" borderId="4" applyBorder="1" fontId="1" applyFont="1" fillId="5" applyFill="1" applyAlignment="1">
      <alignment horizontal="center"/>
    </xf>
    <xf xfId="0" numFmtId="4" applyNumberFormat="1" borderId="6" applyBorder="1" fontId="1" applyFont="1" fillId="5" applyFill="1" applyAlignment="1">
      <alignment horizontal="center"/>
    </xf>
    <xf xfId="0" numFmtId="0" borderId="23" applyBorder="1" fontId="2" applyFont="1" fillId="0" applyAlignment="1">
      <alignment horizontal="left"/>
    </xf>
    <xf xfId="0" numFmtId="0" borderId="28" applyBorder="1" fontId="2" applyFont="1" fillId="0" applyAlignment="1">
      <alignment horizontal="left"/>
    </xf>
    <xf xfId="0" numFmtId="3" applyNumberFormat="1" borderId="25" applyBorder="1" fontId="2" applyFont="1" fillId="0" applyAlignment="1">
      <alignment horizontal="left"/>
    </xf>
    <xf xfId="0" numFmtId="4" applyNumberFormat="1" borderId="34" applyBorder="1" fontId="3" applyFont="1" fillId="6" applyFill="1" applyAlignment="1">
      <alignment horizontal="left" wrapText="1"/>
    </xf>
    <xf xfId="0" numFmtId="4" applyNumberFormat="1" borderId="28" applyBorder="1" fontId="3" applyFont="1" fillId="0" applyAlignment="1">
      <alignment horizontal="right"/>
    </xf>
    <xf xfId="0" numFmtId="3" applyNumberFormat="1" borderId="28" applyBorder="1" fontId="2" applyFont="1" fillId="0" applyAlignment="1">
      <alignment horizontal="right"/>
    </xf>
    <xf xfId="0" numFmtId="4" applyNumberFormat="1" borderId="25" applyBorder="1" fontId="4" applyFont="1" fillId="0" applyAlignment="1">
      <alignment horizontal="right"/>
    </xf>
    <xf xfId="0" numFmtId="4" applyNumberFormat="1" borderId="35" applyBorder="1" fontId="3" applyFont="1" fillId="6" applyFill="1" applyAlignment="1">
      <alignment horizontal="left"/>
    </xf>
    <xf xfId="0" numFmtId="3" applyNumberFormat="1" borderId="28" applyBorder="1" fontId="3" applyFont="1" fillId="0" applyAlignment="1">
      <alignment horizontal="right"/>
    </xf>
    <xf xfId="0" numFmtId="4" applyNumberFormat="1" borderId="36" applyBorder="1" fontId="3" applyFont="1" fillId="6" applyFill="1" applyAlignment="1">
      <alignment horizontal="left"/>
    </xf>
    <xf xfId="0" numFmtId="0" borderId="28" applyBorder="1" fontId="3" applyFont="1" fillId="0" applyAlignment="1">
      <alignment horizontal="left"/>
    </xf>
    <xf xfId="0" numFmtId="4" applyNumberFormat="1" borderId="1" applyBorder="1" fontId="1" applyFont="1" fillId="7" applyFill="1" applyAlignment="1">
      <alignment horizontal="center"/>
    </xf>
    <xf xfId="0" numFmtId="4" applyNumberFormat="1" borderId="2" applyBorder="1" fontId="1" applyFont="1" fillId="7" applyFill="1" applyAlignment="1">
      <alignment horizontal="center"/>
    </xf>
    <xf xfId="0" numFmtId="0" borderId="3" applyBorder="1" fontId="1" applyFont="1" fillId="7" applyFill="1" applyAlignment="1">
      <alignment horizontal="center"/>
    </xf>
    <xf xfId="0" numFmtId="0" borderId="28" applyBorder="1" fontId="1" applyFont="1" fillId="0" applyAlignment="1">
      <alignment horizontal="center"/>
    </xf>
    <xf xfId="0" numFmtId="0" borderId="21" applyBorder="1" fontId="3" applyFont="1" fillId="0" applyAlignment="1">
      <alignment horizontal="center" vertical="top" wrapText="1"/>
    </xf>
    <xf xfId="0" numFmtId="164" applyNumberFormat="1" borderId="22" applyBorder="1" fontId="3" applyFont="1" fillId="0" applyAlignment="1">
      <alignment horizontal="center" vertical="top" wrapText="1"/>
    </xf>
    <xf xfId="0" numFmtId="3" applyNumberFormat="1" borderId="37" applyBorder="1" fontId="3" applyFont="1" fillId="0" applyAlignment="1">
      <alignment horizontal="center" vertical="top"/>
    </xf>
    <xf xfId="0" numFmtId="4" applyNumberFormat="1" borderId="7" applyBorder="1" fontId="3" applyFont="1" fillId="0" applyAlignment="1">
      <alignment horizontal="center"/>
    </xf>
    <xf xfId="0" numFmtId="4" applyNumberFormat="1" borderId="14" applyBorder="1" fontId="3" applyFont="1" fillId="0" applyAlignment="1">
      <alignment horizontal="center"/>
    </xf>
    <xf xfId="0" numFmtId="0" borderId="15" applyBorder="1" fontId="3" applyFont="1" fillId="0" applyAlignment="1">
      <alignment horizontal="center"/>
    </xf>
    <xf xfId="0" numFmtId="0" borderId="28" applyBorder="1" fontId="3" applyFont="1" fillId="0" applyAlignment="1">
      <alignment horizontal="center"/>
    </xf>
    <xf xfId="0" numFmtId="0" borderId="26" applyBorder="1" fontId="3" applyFont="1" fillId="0" applyAlignment="1">
      <alignment horizontal="center" wrapText="1"/>
    </xf>
    <xf xfId="0" numFmtId="164" applyNumberFormat="1" borderId="27" applyBorder="1" fontId="3" applyFont="1" fillId="0" applyAlignment="1">
      <alignment horizontal="center" wrapText="1"/>
    </xf>
    <xf xfId="0" numFmtId="3" applyNumberFormat="1" borderId="38" applyBorder="1" fontId="3" applyFont="1" fillId="0" applyAlignment="1">
      <alignment horizontal="center"/>
    </xf>
    <xf xfId="0" numFmtId="4" applyNumberFormat="1" borderId="16" applyBorder="1" fontId="3" applyFont="1" fillId="0" applyAlignment="1">
      <alignment horizontal="left"/>
    </xf>
    <xf xfId="0" numFmtId="4" applyNumberFormat="1" borderId="39" applyBorder="1" fontId="4" applyFont="1" fillId="0" applyAlignment="1">
      <alignment horizontal="right"/>
    </xf>
    <xf xfId="0" numFmtId="0" borderId="20" applyBorder="1" fontId="3" applyFont="1" fillId="0" applyAlignment="1">
      <alignment horizontal="left"/>
    </xf>
    <xf xfId="0" numFmtId="4" applyNumberFormat="1" borderId="11" applyBorder="1" fontId="3" applyFont="1" fillId="0" applyAlignment="1">
      <alignment horizontal="left"/>
    </xf>
    <xf xfId="0" numFmtId="4" applyNumberFormat="1" borderId="40" applyBorder="1" fontId="4" applyFont="1" fillId="0" applyAlignment="1">
      <alignment horizontal="right"/>
    </xf>
    <xf xfId="0" numFmtId="0" borderId="12" applyBorder="1" fontId="3" applyFont="1" fillId="0" applyAlignment="1">
      <alignment horizontal="left"/>
    </xf>
    <xf xfId="0" numFmtId="3" applyNumberFormat="1" borderId="25" applyBorder="1" fontId="2" applyFont="1" fillId="0" applyAlignment="1">
      <alignment horizontal="right"/>
    </xf>
    <xf xfId="0" numFmtId="0" borderId="41" applyBorder="1" fontId="3" applyFont="1" fillId="0" applyAlignment="1">
      <alignment horizontal="center"/>
    </xf>
    <xf xfId="0" numFmtId="0" borderId="42" applyBorder="1" fontId="3" applyFont="1" fillId="0" applyAlignment="1">
      <alignment horizontal="center"/>
    </xf>
    <xf xfId="0" numFmtId="3" applyNumberFormat="1" borderId="43" applyBorder="1" fontId="3" applyFont="1" fillId="0" applyAlignment="1">
      <alignment horizontal="center"/>
    </xf>
    <xf xfId="0" numFmtId="3" applyNumberFormat="1" borderId="44" applyBorder="1" fontId="3" applyFont="1" fillId="0" applyAlignment="1">
      <alignment horizontal="center" wrapText="1"/>
    </xf>
    <xf xfId="0" numFmtId="3" applyNumberFormat="1" borderId="32" applyBorder="1" fontId="3" applyFont="1" fillId="0" applyAlignment="1">
      <alignment horizontal="left"/>
    </xf>
    <xf xfId="0" numFmtId="3" applyNumberFormat="1" borderId="45" applyBorder="1" fontId="3" applyFont="1" fillId="0" applyAlignment="1">
      <alignment horizontal="center" wrapText="1"/>
    </xf>
    <xf xfId="0" numFmtId="4" applyNumberFormat="1" borderId="25" applyBorder="1" fontId="2" applyFont="1" fillId="0" applyAlignment="1">
      <alignment horizontal="right"/>
    </xf>
    <xf xfId="0" numFmtId="4" applyNumberFormat="1" borderId="23" applyBorder="1" fontId="3" applyFont="1" fillId="0" applyAlignment="1">
      <alignment horizontal="left"/>
    </xf>
    <xf xfId="0" numFmtId="4" applyNumberFormat="1" borderId="28" applyBorder="1" fontId="4" applyFont="1" fillId="0" applyAlignment="1">
      <alignment horizontal="right"/>
    </xf>
    <xf xfId="0" numFmtId="0" borderId="25" applyBorder="1" fontId="3" applyFont="1" fillId="0" applyAlignment="1">
      <alignment horizontal="left"/>
    </xf>
    <xf xfId="0" numFmtId="3" applyNumberFormat="1" borderId="0" fontId="0" fillId="0" applyAlignment="1">
      <alignment horizontal="right"/>
    </xf>
    <xf xfId="0" numFmtId="0" borderId="30" applyBorder="1" fontId="2" applyFont="1" fillId="0" applyAlignment="1">
      <alignment horizontal="left"/>
    </xf>
    <xf xfId="0" numFmtId="0" borderId="32" applyBorder="1" fontId="2" applyFont="1" fillId="0" applyAlignment="1">
      <alignment horizontal="left"/>
    </xf>
    <xf xfId="0" numFmtId="3" applyNumberFormat="1" borderId="33" applyBorder="1" fontId="2" applyFont="1" fillId="0" applyAlignment="1">
      <alignment horizontal="right"/>
    </xf>
    <xf xfId="0" numFmtId="0" borderId="46" applyBorder="1" fontId="5" applyFont="1" fillId="0" applyAlignment="1">
      <alignment horizontal="center"/>
    </xf>
    <xf xfId="0" numFmtId="0" borderId="47" applyBorder="1" fontId="5" applyFont="1" fillId="0" applyAlignment="1">
      <alignment horizontal="center"/>
    </xf>
    <xf xfId="0" numFmtId="3" applyNumberFormat="1" borderId="48" applyBorder="1" fontId="5" applyFont="1" fillId="0" applyAlignment="1">
      <alignment horizontal="center"/>
    </xf>
    <xf xfId="0" numFmtId="3" applyNumberFormat="1" borderId="28" applyBorder="1" fontId="1" applyFont="1" fillId="0" applyAlignment="1">
      <alignment horizontal="center"/>
    </xf>
    <xf xfId="0" numFmtId="0" borderId="21" applyBorder="1" fontId="2" applyFont="1" fillId="0" applyAlignment="1">
      <alignment horizontal="center" vertical="top" wrapText="1"/>
    </xf>
    <xf xfId="0" numFmtId="0" borderId="9" applyBorder="1" fontId="3" applyFont="1" fillId="0" applyAlignment="1">
      <alignment horizontal="left"/>
    </xf>
    <xf xfId="0" numFmtId="3" applyNumberFormat="1" borderId="10" applyBorder="1" fontId="2" applyFont="1" fillId="0" applyAlignment="1">
      <alignment horizontal="right"/>
    </xf>
    <xf xfId="0" numFmtId="3" applyNumberFormat="1" borderId="40" applyBorder="1" fontId="4" applyFont="1" fillId="0" applyAlignment="1">
      <alignment horizontal="right"/>
    </xf>
    <xf xfId="0" numFmtId="0" borderId="1" applyBorder="1" fontId="1" applyFont="1" fillId="8" applyFill="1" applyAlignment="1">
      <alignment horizontal="center"/>
    </xf>
    <xf xfId="0" numFmtId="0" borderId="2" applyBorder="1" fontId="1" applyFont="1" fillId="8" applyFill="1" applyAlignment="1">
      <alignment horizontal="center"/>
    </xf>
    <xf xfId="0" numFmtId="3" applyNumberFormat="1" borderId="2" applyBorder="1" fontId="1" applyFont="1" fillId="8" applyFill="1" applyAlignment="1">
      <alignment horizontal="center"/>
    </xf>
    <xf xfId="0" numFmtId="3" applyNumberFormat="1" borderId="3" applyBorder="1" fontId="1" applyFont="1" fillId="8" applyFill="1" applyAlignment="1">
      <alignment horizontal="center"/>
    </xf>
    <xf xfId="0" numFmtId="0" borderId="29" applyBorder="1" fontId="2" applyFont="1" fillId="0" applyAlignment="1">
      <alignment horizontal="center"/>
    </xf>
    <xf xfId="0" numFmtId="4" applyNumberFormat="1" borderId="16" applyBorder="1" fontId="3" applyFont="1" fillId="0" applyAlignment="1">
      <alignment horizontal="center"/>
    </xf>
    <xf xfId="0" numFmtId="4" applyNumberFormat="1" borderId="39" applyBorder="1" fontId="3" applyFont="1" fillId="0" applyAlignment="1">
      <alignment horizontal="center"/>
    </xf>
    <xf xfId="0" numFmtId="0" borderId="20" applyBorder="1" fontId="3" applyFont="1" fillId="0" applyAlignment="1">
      <alignment horizontal="center"/>
    </xf>
    <xf xfId="0" numFmtId="0" borderId="49" applyBorder="1" fontId="3" applyFont="1" fillId="0" applyAlignment="1">
      <alignment horizontal="center"/>
    </xf>
    <xf xfId="0" numFmtId="0" borderId="50" applyBorder="1" fontId="3" applyFont="1" fillId="0" applyAlignment="1">
      <alignment horizontal="center"/>
    </xf>
    <xf xfId="0" numFmtId="0" borderId="8" applyBorder="1" fontId="3" applyFont="1" fillId="0" applyAlignment="1">
      <alignment horizontal="center"/>
    </xf>
    <xf xfId="0" numFmtId="3" applyNumberFormat="1" borderId="9" applyBorder="1" fontId="3" applyFont="1" fillId="0" applyAlignment="1">
      <alignment horizontal="center"/>
    </xf>
    <xf xfId="0" numFmtId="3" applyNumberFormat="1" borderId="9" applyBorder="1" fontId="3" applyFont="1" fillId="0" applyAlignment="1">
      <alignment horizontal="left"/>
    </xf>
    <xf xfId="0" numFmtId="3" applyNumberFormat="1" borderId="50" applyBorder="1" fontId="3" applyFont="1" fillId="0" applyAlignment="1">
      <alignment horizontal="center"/>
    </xf>
    <xf xfId="0" numFmtId="3" applyNumberFormat="1" borderId="15" applyBorder="1" fontId="3" applyFont="1" fillId="0" applyAlignment="1">
      <alignment horizontal="center"/>
    </xf>
    <xf xfId="0" numFmtId="0" borderId="49" applyBorder="1" fontId="2" applyFont="1" fillId="0" applyAlignment="1">
      <alignment horizontal="center" vertical="top"/>
    </xf>
    <xf xfId="0" numFmtId="0" borderId="50" applyBorder="1" fontId="3" applyFont="1" fillId="0" applyAlignment="1">
      <alignment horizontal="left"/>
    </xf>
    <xf xfId="0" numFmtId="0" borderId="8" applyBorder="1" fontId="3" applyFont="1" fillId="0" applyAlignment="1">
      <alignment horizontal="left"/>
    </xf>
    <xf xfId="0" numFmtId="3" applyNumberFormat="1" borderId="9" applyBorder="1" fontId="3" applyFont="1" fillId="0" applyAlignment="1">
      <alignment horizontal="right"/>
    </xf>
    <xf xfId="0" numFmtId="164" applyNumberFormat="1" borderId="9" applyBorder="1" fontId="3" applyFont="1" fillId="0" applyAlignment="1">
      <alignment horizontal="right"/>
    </xf>
    <xf xfId="0" numFmtId="4" applyNumberFormat="1" borderId="50" applyBorder="1" fontId="3" applyFont="1" fillId="0" applyAlignment="1">
      <alignment horizontal="right"/>
    </xf>
    <xf xfId="0" numFmtId="0" borderId="26" applyBorder="1" fontId="2" applyFont="1" fillId="0" applyAlignment="1">
      <alignment horizontal="center"/>
    </xf>
    <xf xfId="0" numFmtId="4" applyNumberFormat="1" borderId="30" applyBorder="1" fontId="3" applyFont="1" fillId="0" applyAlignment="1">
      <alignment horizontal="left"/>
    </xf>
    <xf xfId="0" numFmtId="4" applyNumberFormat="1" borderId="32" applyBorder="1" fontId="4" applyFont="1" fillId="0" applyAlignment="1">
      <alignment horizontal="right"/>
    </xf>
    <xf xfId="0" numFmtId="0" borderId="33" applyBorder="1" fontId="3" applyFont="1" fillId="0" applyAlignment="1">
      <alignment horizontal="left"/>
    </xf>
    <xf xfId="0" numFmtId="3" applyNumberFormat="1" borderId="49" applyBorder="1" fontId="2" applyFont="1" fillId="0" applyAlignment="1">
      <alignment horizontal="center"/>
    </xf>
    <xf xfId="0" numFmtId="3" applyNumberFormat="1" borderId="19" applyBorder="1" fontId="3" applyFont="1" fillId="0" applyAlignment="1">
      <alignment horizontal="center"/>
    </xf>
    <xf xfId="0" numFmtId="3" applyNumberFormat="1" borderId="10" applyBorder="1" fontId="6" applyFont="1" fillId="0" applyAlignment="1">
      <alignment horizontal="right"/>
    </xf>
    <xf xfId="0" numFmtId="4" applyNumberFormat="1" borderId="10" applyBorder="1" fontId="7" applyFont="1" fillId="0" applyAlignment="1">
      <alignment horizontal="right"/>
    </xf>
    <xf xfId="0" numFmtId="0" borderId="49" applyBorder="1" fontId="2" applyFont="1" fillId="0" applyAlignment="1">
      <alignment horizontal="center" vertical="top" wrapText="1"/>
    </xf>
    <xf xfId="0" numFmtId="3" applyNumberFormat="1" borderId="50" applyBorder="1" fontId="3" applyFont="1" fillId="0" applyAlignment="1">
      <alignment horizontal="right"/>
    </xf>
    <xf xfId="0" numFmtId="4" applyNumberFormat="1" borderId="9" applyBorder="1" fontId="3" applyFont="1" fillId="0" applyAlignment="1">
      <alignment horizontal="right"/>
    </xf>
    <xf xfId="0" numFmtId="4" applyNumberFormat="1" borderId="51" applyBorder="1" fontId="4" applyFont="1" fillId="6" applyFill="1" applyAlignment="1">
      <alignment horizontal="left"/>
    </xf>
    <xf xfId="0" numFmtId="0" borderId="22" applyBorder="1" fontId="2" applyFont="1" fillId="0" applyAlignment="1">
      <alignment horizontal="left" vertical="top"/>
    </xf>
    <xf xfId="0" numFmtId="0" borderId="18" applyBorder="1" fontId="2" applyFont="1" fillId="0" applyAlignment="1">
      <alignment horizontal="left"/>
    </xf>
    <xf xfId="0" numFmtId="0" borderId="27" applyBorder="1" fontId="2" applyFont="1" fillId="0" applyAlignment="1">
      <alignment horizontal="left"/>
    </xf>
    <xf xfId="0" numFmtId="3" applyNumberFormat="1" borderId="52" applyBorder="1" fontId="2" applyFont="1" fillId="0" applyAlignment="1">
      <alignment horizontal="right"/>
    </xf>
    <xf xfId="0" numFmtId="0" borderId="23" applyBorder="1" fontId="3" applyFont="1" fillId="0" applyAlignment="1">
      <alignment horizontal="left"/>
    </xf>
    <xf xfId="0" numFmtId="3" applyNumberFormat="1" borderId="28" applyBorder="1" fontId="3" applyFont="1" fillId="0" applyAlignment="1">
      <alignment horizontal="left"/>
    </xf>
    <xf xfId="0" numFmtId="3" applyNumberFormat="1" borderId="25" applyBorder="1" fontId="3" applyFont="1" fillId="0" applyAlignment="1">
      <alignment horizontal="left"/>
    </xf>
    <xf xfId="0" numFmtId="0" borderId="30" applyBorder="1" fontId="3" applyFont="1" fillId="0" applyAlignment="1">
      <alignment horizontal="left"/>
    </xf>
    <xf xfId="0" numFmtId="0" borderId="32" applyBorder="1" fontId="3" applyFont="1" fillId="0" applyAlignment="1">
      <alignment horizontal="left"/>
    </xf>
    <xf xfId="0" numFmtId="3" applyNumberFormat="1" borderId="33" applyBorder="1" fontId="3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66"/>
  <sheetViews>
    <sheetView workbookViewId="0" tabSelected="1"/>
  </sheetViews>
  <sheetFormatPr defaultRowHeight="15" x14ac:dyDescent="0.25"/>
  <cols>
    <col min="1" max="1" style="160" width="12.43357142857143" customWidth="1" bestFit="1"/>
    <col min="2" max="2" style="160" width="44.29071428571429" customWidth="1" bestFit="1"/>
    <col min="3" max="3" style="160" width="10.719285714285713" customWidth="1" bestFit="1"/>
    <col min="4" max="4" style="161" width="12.43357142857143" customWidth="1" bestFit="1"/>
    <col min="5" max="5" style="162" width="12.43357142857143" customWidth="1" bestFit="1"/>
    <col min="6" max="6" style="162" width="33.14785714285715" customWidth="1" bestFit="1"/>
    <col min="7" max="7" style="162" width="21.005" customWidth="1" bestFit="1"/>
    <col min="8" max="8" style="160" width="69.29071428571429" customWidth="1" bestFit="1"/>
    <col min="9" max="9" style="160" width="13.005" customWidth="1" bestFit="1"/>
    <col min="10" max="10" style="160" width="15.290714285714287" customWidth="1" bestFit="1"/>
    <col min="11" max="11" style="160" width="10.005" customWidth="1" bestFit="1"/>
    <col min="12" max="12" style="160" width="22.290714285714284" customWidth="1" bestFit="1"/>
    <col min="13" max="13" style="161" width="21.005" customWidth="1" bestFit="1"/>
    <col min="14" max="14" style="161" width="24.290714285714284" customWidth="1" bestFit="1"/>
    <col min="15" max="15" style="161" width="24.290714285714284" customWidth="1" bestFit="1"/>
    <col min="16" max="16" style="163" width="18.14785714285714" customWidth="1" bestFit="1"/>
  </cols>
  <sheetData>
    <row x14ac:dyDescent="0.25" r="1" customHeight="1" ht="22.5">
      <c r="A1" s="1"/>
      <c r="B1" s="2" t="s">
        <v>0</v>
      </c>
      <c r="C1" s="3"/>
      <c r="D1" s="4"/>
      <c r="E1" s="5"/>
      <c r="F1" s="5"/>
      <c r="G1" s="6"/>
      <c r="H1" s="1"/>
      <c r="I1" s="1"/>
      <c r="J1" s="7" t="s">
        <v>1</v>
      </c>
      <c r="K1" s="8"/>
      <c r="L1" s="8"/>
      <c r="M1" s="9"/>
      <c r="N1" s="9"/>
      <c r="O1" s="9"/>
      <c r="P1" s="10"/>
    </row>
    <row x14ac:dyDescent="0.25" r="2" customHeight="1" ht="19.5">
      <c r="A2" s="1"/>
      <c r="B2" s="11"/>
      <c r="C2" s="12"/>
      <c r="D2" s="13" t="s">
        <v>2</v>
      </c>
      <c r="E2" s="14" t="s">
        <v>3</v>
      </c>
      <c r="F2" s="14" t="s">
        <v>4</v>
      </c>
      <c r="G2" s="15" t="s">
        <v>5</v>
      </c>
      <c r="H2" s="1"/>
      <c r="I2" s="1"/>
      <c r="J2" s="16" t="s">
        <v>6</v>
      </c>
      <c r="K2" s="17"/>
      <c r="L2" s="18" t="s">
        <v>7</v>
      </c>
      <c r="M2" s="19"/>
      <c r="N2" s="20" t="s">
        <v>8</v>
      </c>
      <c r="O2" s="20"/>
      <c r="P2" s="21"/>
    </row>
    <row x14ac:dyDescent="0.25" r="3" customHeight="1" ht="19.5">
      <c r="A3" s="1"/>
      <c r="B3" s="22" t="s">
        <v>9</v>
      </c>
      <c r="C3" s="23"/>
      <c r="D3" s="24">
        <v>300</v>
      </c>
      <c r="E3" s="24">
        <v>300</v>
      </c>
      <c r="F3" s="24">
        <v>350</v>
      </c>
      <c r="G3" s="25">
        <v>350</v>
      </c>
      <c r="H3" s="1"/>
      <c r="I3" s="1"/>
      <c r="J3" s="26" t="s">
        <v>10</v>
      </c>
      <c r="K3" s="27"/>
      <c r="L3" s="28" t="s">
        <v>11</v>
      </c>
      <c r="M3" s="29">
        <f>D23</f>
      </c>
      <c r="N3" s="30" t="s">
        <v>12</v>
      </c>
      <c r="O3" s="30">
        <f>(G21*LN(M4)-G22)-(G21*LN(M3)-G22)</f>
      </c>
      <c r="P3" s="31">
        <f>MAX(O3,O5)</f>
      </c>
    </row>
    <row x14ac:dyDescent="0.25" r="4" customHeight="1" ht="18.75">
      <c r="A4" s="1"/>
      <c r="B4" s="32" t="s">
        <v>13</v>
      </c>
      <c r="C4" s="33"/>
      <c r="D4" s="24">
        <v>730</v>
      </c>
      <c r="E4" s="24">
        <v>730</v>
      </c>
      <c r="F4" s="24">
        <v>1650</v>
      </c>
      <c r="G4" s="25">
        <v>1000</v>
      </c>
      <c r="H4" s="1"/>
      <c r="I4" s="1"/>
      <c r="J4" s="34"/>
      <c r="K4" s="35"/>
      <c r="L4" s="36" t="s">
        <v>14</v>
      </c>
      <c r="M4" s="37">
        <f>D24</f>
      </c>
      <c r="N4" s="38"/>
      <c r="O4" s="38"/>
      <c r="P4" s="39"/>
    </row>
    <row x14ac:dyDescent="0.25" r="5" customHeight="1" ht="29.25">
      <c r="A5" s="1"/>
      <c r="B5" s="32" t="s">
        <v>15</v>
      </c>
      <c r="C5" s="33"/>
      <c r="D5" s="40">
        <v>0.03</v>
      </c>
      <c r="E5" s="40">
        <v>0.03</v>
      </c>
      <c r="F5" s="40">
        <v>0.03</v>
      </c>
      <c r="G5" s="41">
        <v>0.03</v>
      </c>
      <c r="H5" s="1"/>
      <c r="I5" s="1"/>
      <c r="J5" s="34"/>
      <c r="K5" s="35"/>
      <c r="L5" s="28" t="s">
        <v>16</v>
      </c>
      <c r="M5" s="29">
        <f>D7</f>
      </c>
      <c r="N5" s="30" t="s">
        <v>17</v>
      </c>
      <c r="O5" s="30">
        <f>(G23*M6^2+G24*M6-G25)-(G23*M5^2+G24*M5-G25)</f>
      </c>
      <c r="P5" s="39"/>
    </row>
    <row x14ac:dyDescent="0.25" r="6" customHeight="1" ht="28.5">
      <c r="A6" s="1"/>
      <c r="B6" s="32" t="s">
        <v>18</v>
      </c>
      <c r="C6" s="33"/>
      <c r="D6" s="24" t="s">
        <v>19</v>
      </c>
      <c r="E6" s="40" t="s">
        <v>19</v>
      </c>
      <c r="F6" s="40">
        <v>0.13</v>
      </c>
      <c r="G6" s="41">
        <v>0.18</v>
      </c>
      <c r="H6" s="1"/>
      <c r="I6" s="1"/>
      <c r="J6" s="18"/>
      <c r="K6" s="42"/>
      <c r="L6" s="36" t="s">
        <v>20</v>
      </c>
      <c r="M6" s="37">
        <f>D8</f>
      </c>
      <c r="N6" s="38"/>
      <c r="O6" s="38"/>
      <c r="P6" s="39"/>
    </row>
    <row x14ac:dyDescent="0.25" r="7" customHeight="1" ht="18.75">
      <c r="A7" s="1"/>
      <c r="B7" s="32" t="s">
        <v>21</v>
      </c>
      <c r="C7" s="33"/>
      <c r="D7" s="43">
        <v>27</v>
      </c>
      <c r="E7" s="44"/>
      <c r="F7" s="44"/>
      <c r="G7" s="45"/>
      <c r="H7" s="1"/>
      <c r="I7" s="1"/>
      <c r="J7" s="26" t="s">
        <v>22</v>
      </c>
      <c r="K7" s="27"/>
      <c r="L7" s="28" t="s">
        <v>23</v>
      </c>
      <c r="M7" s="29">
        <f>G14</f>
      </c>
      <c r="N7" s="30" t="s">
        <v>24</v>
      </c>
      <c r="O7" s="30">
        <f>M7/(M8*M9*M10)</f>
      </c>
      <c r="P7" s="31">
        <f>SUM(O7:O18)</f>
      </c>
    </row>
    <row x14ac:dyDescent="0.25" r="8" customHeight="1" ht="18.75">
      <c r="A8" s="1"/>
      <c r="B8" s="46" t="s">
        <v>25</v>
      </c>
      <c r="C8" s="47"/>
      <c r="D8" s="43">
        <v>150</v>
      </c>
      <c r="E8" s="44"/>
      <c r="F8" s="44"/>
      <c r="G8" s="45"/>
      <c r="H8" s="1"/>
      <c r="I8" s="1"/>
      <c r="J8" s="34"/>
      <c r="K8" s="35"/>
      <c r="L8" s="48" t="s">
        <v>26</v>
      </c>
      <c r="M8" s="49">
        <f>D26</f>
      </c>
      <c r="N8" s="50"/>
      <c r="O8" s="50"/>
      <c r="P8" s="39"/>
    </row>
    <row x14ac:dyDescent="0.25" r="9" customHeight="1" ht="18.75">
      <c r="A9" s="1"/>
      <c r="B9" s="32" t="s">
        <v>27</v>
      </c>
      <c r="C9" s="33"/>
      <c r="D9" s="43">
        <v>150</v>
      </c>
      <c r="E9" s="44"/>
      <c r="F9" s="44"/>
      <c r="G9" s="45"/>
      <c r="H9" s="1"/>
      <c r="I9" s="1"/>
      <c r="J9" s="34"/>
      <c r="K9" s="35"/>
      <c r="L9" s="48" t="s">
        <v>28</v>
      </c>
      <c r="M9" s="49">
        <f>D4</f>
      </c>
      <c r="N9" s="50"/>
      <c r="O9" s="50"/>
      <c r="P9" s="39"/>
    </row>
    <row x14ac:dyDescent="0.25" r="10" customHeight="1" ht="18.75">
      <c r="A10" s="1"/>
      <c r="B10" s="51" t="s">
        <v>29</v>
      </c>
      <c r="C10" s="52"/>
      <c r="D10" s="53">
        <v>80</v>
      </c>
      <c r="E10" s="54"/>
      <c r="F10" s="54"/>
      <c r="G10" s="55"/>
      <c r="H10" s="1"/>
      <c r="I10" s="1"/>
      <c r="J10" s="34"/>
      <c r="K10" s="35"/>
      <c r="L10" s="36" t="s">
        <v>15</v>
      </c>
      <c r="M10" s="37">
        <f>D5</f>
      </c>
      <c r="N10" s="38"/>
      <c r="O10" s="38"/>
      <c r="P10" s="39"/>
    </row>
    <row x14ac:dyDescent="0.25" r="11" customHeight="1" ht="18">
      <c r="A11" s="1"/>
      <c r="B11" s="1"/>
      <c r="C11" s="1"/>
      <c r="D11" s="56"/>
      <c r="E11" s="57"/>
      <c r="F11" s="57"/>
      <c r="G11" s="57"/>
      <c r="H11" s="1"/>
      <c r="I11" s="1"/>
      <c r="J11" s="34"/>
      <c r="K11" s="35"/>
      <c r="L11" s="28" t="s">
        <v>23</v>
      </c>
      <c r="M11" s="29">
        <f>G14</f>
      </c>
      <c r="N11" s="30" t="s">
        <v>30</v>
      </c>
      <c r="O11" s="30">
        <f>M11/(M12*M13*M14)</f>
      </c>
      <c r="P11" s="39"/>
    </row>
    <row x14ac:dyDescent="0.25" r="12" customHeight="1" ht="17.25">
      <c r="A12" s="1"/>
      <c r="B12" s="1"/>
      <c r="C12" s="1"/>
      <c r="D12" s="56"/>
      <c r="E12" s="57"/>
      <c r="F12" s="57"/>
      <c r="G12" s="57"/>
      <c r="H12" s="1"/>
      <c r="I12" s="1"/>
      <c r="J12" s="34"/>
      <c r="K12" s="35"/>
      <c r="L12" s="48" t="s">
        <v>31</v>
      </c>
      <c r="M12" s="49">
        <f>D26</f>
      </c>
      <c r="N12" s="50"/>
      <c r="O12" s="50"/>
      <c r="P12" s="39"/>
    </row>
    <row x14ac:dyDescent="0.25" r="13" customHeight="1" ht="22.5">
      <c r="A13" s="1"/>
      <c r="B13" s="58" t="s">
        <v>32</v>
      </c>
      <c r="C13" s="59"/>
      <c r="D13" s="60"/>
      <c r="E13" s="57"/>
      <c r="F13" s="61" t="s">
        <v>33</v>
      </c>
      <c r="G13" s="62"/>
      <c r="H13" s="1"/>
      <c r="I13" s="1"/>
      <c r="J13" s="34"/>
      <c r="K13" s="35"/>
      <c r="L13" s="48" t="s">
        <v>28</v>
      </c>
      <c r="M13" s="49">
        <f>E4</f>
      </c>
      <c r="N13" s="50"/>
      <c r="O13" s="50"/>
      <c r="P13" s="39"/>
    </row>
    <row x14ac:dyDescent="0.25" r="14" customHeight="1" ht="18.75">
      <c r="A14" s="1"/>
      <c r="B14" s="63" t="s">
        <v>34</v>
      </c>
      <c r="C14" s="64"/>
      <c r="D14" s="65"/>
      <c r="E14" s="57"/>
      <c r="F14" s="66" t="s">
        <v>35</v>
      </c>
      <c r="G14" s="67">
        <v>179905.135</v>
      </c>
      <c r="H14" s="1"/>
      <c r="I14" s="1"/>
      <c r="J14" s="34"/>
      <c r="K14" s="35"/>
      <c r="L14" s="36" t="s">
        <v>15</v>
      </c>
      <c r="M14" s="37">
        <f>E5</f>
      </c>
      <c r="N14" s="38"/>
      <c r="O14" s="38"/>
      <c r="P14" s="39"/>
    </row>
    <row x14ac:dyDescent="0.25" r="15" customHeight="1" ht="15.449999999999998">
      <c r="A15" s="1"/>
      <c r="B15" s="63" t="s">
        <v>36</v>
      </c>
      <c r="C15" s="68"/>
      <c r="D15" s="69">
        <v>569.7</v>
      </c>
      <c r="E15" s="57"/>
      <c r="F15" s="70" t="s">
        <v>37</v>
      </c>
      <c r="G15" s="67">
        <v>93013.953</v>
      </c>
      <c r="H15" s="1"/>
      <c r="I15" s="1"/>
      <c r="J15" s="34"/>
      <c r="K15" s="35"/>
      <c r="L15" s="28" t="s">
        <v>37</v>
      </c>
      <c r="M15" s="29">
        <f>G15</f>
      </c>
      <c r="N15" s="30" t="s">
        <v>38</v>
      </c>
      <c r="O15" s="30">
        <f>M15/M16</f>
      </c>
      <c r="P15" s="39"/>
    </row>
    <row x14ac:dyDescent="0.25" r="16" customHeight="1" ht="15.449999999999998">
      <c r="A16" s="1"/>
      <c r="B16" s="63" t="s">
        <v>39</v>
      </c>
      <c r="C16" s="68"/>
      <c r="D16" s="69">
        <v>1122.3</v>
      </c>
      <c r="E16" s="57"/>
      <c r="F16" s="70" t="s">
        <v>40</v>
      </c>
      <c r="G16" s="71">
        <v>62596</v>
      </c>
      <c r="H16" s="1"/>
      <c r="I16" s="1"/>
      <c r="J16" s="34"/>
      <c r="K16" s="35"/>
      <c r="L16" s="36" t="s">
        <v>41</v>
      </c>
      <c r="M16" s="37">
        <f>D26*F6*F5*F4</f>
      </c>
      <c r="N16" s="38"/>
      <c r="O16" s="38"/>
      <c r="P16" s="39"/>
    </row>
    <row x14ac:dyDescent="0.25" r="17" customHeight="1" ht="15.449999999999998">
      <c r="A17" s="1"/>
      <c r="B17" s="63" t="s">
        <v>42</v>
      </c>
      <c r="C17" s="68"/>
      <c r="D17" s="69">
        <v>541.6</v>
      </c>
      <c r="E17" s="57"/>
      <c r="F17" s="72" t="s">
        <v>43</v>
      </c>
      <c r="G17" s="71">
        <v>2031</v>
      </c>
      <c r="H17" s="1"/>
      <c r="I17" s="1"/>
      <c r="J17" s="34"/>
      <c r="K17" s="35"/>
      <c r="L17" s="28" t="s">
        <v>44</v>
      </c>
      <c r="M17" s="29">
        <f>G16</f>
      </c>
      <c r="N17" s="30" t="s">
        <v>45</v>
      </c>
      <c r="O17" s="30">
        <f>M17/M18</f>
      </c>
      <c r="P17" s="39"/>
    </row>
    <row x14ac:dyDescent="0.25" r="18" customHeight="1" ht="17.25">
      <c r="A18" s="1"/>
      <c r="B18" s="63" t="s">
        <v>46</v>
      </c>
      <c r="C18" s="68"/>
      <c r="D18" s="69">
        <v>1739.4</v>
      </c>
      <c r="E18" s="57"/>
      <c r="F18" s="57"/>
      <c r="G18" s="57"/>
      <c r="H18" s="1"/>
      <c r="I18" s="1"/>
      <c r="J18" s="18"/>
      <c r="K18" s="42"/>
      <c r="L18" s="36" t="s">
        <v>47</v>
      </c>
      <c r="M18" s="37">
        <f>D26*G6*G5*G4</f>
      </c>
      <c r="N18" s="38"/>
      <c r="O18" s="38"/>
      <c r="P18" s="39"/>
    </row>
    <row x14ac:dyDescent="0.25" r="19" customHeight="1" ht="27.600000000000005">
      <c r="A19" s="1"/>
      <c r="B19" s="63" t="s">
        <v>48</v>
      </c>
      <c r="C19" s="73"/>
      <c r="D19" s="69">
        <v>713.3</v>
      </c>
      <c r="E19" s="57"/>
      <c r="F19" s="74" t="s">
        <v>49</v>
      </c>
      <c r="G19" s="75"/>
      <c r="H19" s="76"/>
      <c r="I19" s="77"/>
      <c r="J19" s="26" t="s">
        <v>50</v>
      </c>
      <c r="K19" s="27"/>
      <c r="L19" s="78" t="s">
        <v>51</v>
      </c>
      <c r="M19" s="79">
        <f>D25</f>
      </c>
      <c r="N19" s="30" t="s">
        <v>52</v>
      </c>
      <c r="O19" s="30">
        <f>M19*G17</f>
      </c>
      <c r="P19" s="80">
        <f>SUM(O19:O20)</f>
      </c>
    </row>
    <row x14ac:dyDescent="0.25" r="20" customHeight="1" ht="17.25">
      <c r="A20" s="1"/>
      <c r="B20" s="63" t="s">
        <v>53</v>
      </c>
      <c r="C20" s="68"/>
      <c r="D20" s="69">
        <v>52.1</v>
      </c>
      <c r="E20" s="57"/>
      <c r="F20" s="81" t="s">
        <v>54</v>
      </c>
      <c r="G20" s="82"/>
      <c r="H20" s="83"/>
      <c r="I20" s="84"/>
      <c r="J20" s="18"/>
      <c r="K20" s="42"/>
      <c r="L20" s="85"/>
      <c r="M20" s="86"/>
      <c r="N20" s="38"/>
      <c r="O20" s="38"/>
      <c r="P20" s="87"/>
    </row>
    <row x14ac:dyDescent="0.25" r="21" customHeight="1" ht="17.25">
      <c r="A21" s="1"/>
      <c r="B21" s="63" t="s">
        <v>55</v>
      </c>
      <c r="C21" s="68"/>
      <c r="D21" s="69">
        <v>32.1</v>
      </c>
      <c r="E21" s="57"/>
      <c r="F21" s="88" t="s">
        <v>56</v>
      </c>
      <c r="G21" s="89">
        <v>-58.23</v>
      </c>
      <c r="H21" s="90" t="s">
        <v>57</v>
      </c>
      <c r="I21" s="84"/>
      <c r="J21" s="26" t="s">
        <v>58</v>
      </c>
      <c r="K21" s="27"/>
      <c r="L21" s="28" t="s">
        <v>59</v>
      </c>
      <c r="M21" s="29">
        <v>150</v>
      </c>
      <c r="N21" s="30" t="s">
        <v>60</v>
      </c>
      <c r="O21" s="30">
        <f>(G26*M22^2-G27*M22+G28)-(G26*M21^2-G27*M21+G28)</f>
      </c>
      <c r="P21" s="80">
        <f>SUM(O21:O22)</f>
      </c>
    </row>
    <row x14ac:dyDescent="0.25" r="22" customHeight="1" ht="17.25">
      <c r="A22" s="1"/>
      <c r="B22" s="63" t="s">
        <v>61</v>
      </c>
      <c r="C22" s="68"/>
      <c r="D22" s="69">
        <v>69.1</v>
      </c>
      <c r="E22" s="57"/>
      <c r="F22" s="91" t="s">
        <v>62</v>
      </c>
      <c r="G22" s="92">
        <v>88.02</v>
      </c>
      <c r="H22" s="93" t="s">
        <v>63</v>
      </c>
      <c r="I22" s="84"/>
      <c r="J22" s="18"/>
      <c r="K22" s="42"/>
      <c r="L22" s="36" t="s">
        <v>64</v>
      </c>
      <c r="M22" s="37">
        <v>80</v>
      </c>
      <c r="N22" s="38"/>
      <c r="O22" s="38"/>
      <c r="P22" s="87"/>
    </row>
    <row x14ac:dyDescent="0.25" r="23" customHeight="1" ht="17.25">
      <c r="A23" s="1"/>
      <c r="B23" s="63" t="s">
        <v>65</v>
      </c>
      <c r="C23" s="64"/>
      <c r="D23" s="94">
        <v>21</v>
      </c>
      <c r="E23" s="57"/>
      <c r="F23" s="88" t="s">
        <v>66</v>
      </c>
      <c r="G23" s="89">
        <v>0.0838</v>
      </c>
      <c r="H23" s="90" t="s">
        <v>67</v>
      </c>
      <c r="I23" s="84"/>
      <c r="J23" s="95"/>
      <c r="K23" s="96"/>
      <c r="L23" s="96"/>
      <c r="M23" s="97"/>
      <c r="N23" s="98" t="s">
        <v>68</v>
      </c>
      <c r="O23" s="99"/>
      <c r="P23" s="100">
        <f>SUM(P3:P22)</f>
      </c>
    </row>
    <row x14ac:dyDescent="0.25" r="24" customHeight="1" ht="16.95">
      <c r="A24" s="1"/>
      <c r="B24" s="63" t="s">
        <v>69</v>
      </c>
      <c r="C24" s="64"/>
      <c r="D24" s="101">
        <v>0.1</v>
      </c>
      <c r="E24" s="57"/>
      <c r="F24" s="102" t="s">
        <v>70</v>
      </c>
      <c r="G24" s="103">
        <v>2.364</v>
      </c>
      <c r="H24" s="104" t="s">
        <v>71</v>
      </c>
      <c r="I24" s="84"/>
      <c r="J24" s="1"/>
      <c r="K24" s="1"/>
      <c r="L24" s="1"/>
      <c r="M24" s="56"/>
      <c r="N24" s="56"/>
      <c r="O24" s="56"/>
      <c r="P24" s="105"/>
    </row>
    <row x14ac:dyDescent="0.25" r="25" customHeight="1" ht="17.25">
      <c r="A25" s="1"/>
      <c r="B25" s="63" t="s">
        <v>72</v>
      </c>
      <c r="C25" s="64"/>
      <c r="D25" s="94">
        <v>11</v>
      </c>
      <c r="E25" s="57"/>
      <c r="F25" s="91" t="s">
        <v>73</v>
      </c>
      <c r="G25" s="92">
        <v>82.844</v>
      </c>
      <c r="H25" s="93" t="s">
        <v>74</v>
      </c>
      <c r="I25" s="84"/>
      <c r="J25" s="1"/>
      <c r="K25" s="1"/>
      <c r="L25" s="1"/>
      <c r="M25" s="56"/>
      <c r="N25" s="56"/>
      <c r="O25" s="56"/>
      <c r="P25" s="105"/>
    </row>
    <row x14ac:dyDescent="0.25" r="26" customHeight="1" ht="17.25">
      <c r="A26" s="1"/>
      <c r="B26" s="106" t="s">
        <v>75</v>
      </c>
      <c r="C26" s="107"/>
      <c r="D26" s="108">
        <v>2</v>
      </c>
      <c r="E26" s="57"/>
      <c r="F26" s="88" t="s">
        <v>76</v>
      </c>
      <c r="G26" s="89">
        <v>0.5048</v>
      </c>
      <c r="H26" s="90" t="s">
        <v>77</v>
      </c>
      <c r="I26" s="84"/>
      <c r="J26" s="1"/>
      <c r="K26" s="1"/>
      <c r="L26" s="1"/>
      <c r="M26" s="56"/>
      <c r="N26" s="56"/>
      <c r="O26" s="56"/>
      <c r="P26" s="105"/>
    </row>
    <row x14ac:dyDescent="0.25" r="27" customHeight="1" ht="17.25">
      <c r="A27" s="1"/>
      <c r="B27" s="109" t="s">
        <v>78</v>
      </c>
      <c r="C27" s="110"/>
      <c r="D27" s="111"/>
      <c r="E27" s="57"/>
      <c r="F27" s="102" t="s">
        <v>79</v>
      </c>
      <c r="G27" s="103">
        <v>192.96</v>
      </c>
      <c r="H27" s="104" t="s">
        <v>80</v>
      </c>
      <c r="I27" s="84"/>
      <c r="J27" s="1"/>
      <c r="K27" s="1"/>
      <c r="L27" s="77"/>
      <c r="M27" s="112"/>
      <c r="N27" s="112"/>
      <c r="O27" s="112"/>
      <c r="P27" s="112"/>
    </row>
    <row x14ac:dyDescent="0.25" r="28" customHeight="1" ht="17.25">
      <c r="A28" s="1"/>
      <c r="B28" s="113" t="s">
        <v>81</v>
      </c>
      <c r="C28" s="114" t="s">
        <v>10</v>
      </c>
      <c r="D28" s="115">
        <v>1</v>
      </c>
      <c r="E28" s="57"/>
      <c r="F28" s="91" t="s">
        <v>82</v>
      </c>
      <c r="G28" s="116">
        <v>18545</v>
      </c>
      <c r="H28" s="93" t="s">
        <v>83</v>
      </c>
      <c r="I28" s="84"/>
      <c r="J28" s="117" t="s">
        <v>84</v>
      </c>
      <c r="K28" s="118"/>
      <c r="L28" s="118"/>
      <c r="M28" s="119"/>
      <c r="N28" s="119"/>
      <c r="O28" s="119"/>
      <c r="P28" s="120"/>
    </row>
    <row x14ac:dyDescent="0.25" r="29" customHeight="1" ht="17.25">
      <c r="A29" s="1"/>
      <c r="B29" s="121"/>
      <c r="C29" s="114" t="s">
        <v>22</v>
      </c>
      <c r="D29" s="115">
        <v>1</v>
      </c>
      <c r="E29" s="57"/>
      <c r="F29" s="122" t="s">
        <v>85</v>
      </c>
      <c r="G29" s="123"/>
      <c r="H29" s="124"/>
      <c r="I29" s="84"/>
      <c r="J29" s="125" t="s">
        <v>86</v>
      </c>
      <c r="K29" s="126" t="s">
        <v>6</v>
      </c>
      <c r="L29" s="127"/>
      <c r="M29" s="128" t="s">
        <v>87</v>
      </c>
      <c r="N29" s="129" t="s">
        <v>88</v>
      </c>
      <c r="O29" s="130" t="s">
        <v>89</v>
      </c>
      <c r="P29" s="131"/>
    </row>
    <row x14ac:dyDescent="0.25" r="30" customHeight="1" ht="17.25">
      <c r="A30" s="1"/>
      <c r="B30" s="121"/>
      <c r="C30" s="114" t="s">
        <v>90</v>
      </c>
      <c r="D30" s="115">
        <v>1</v>
      </c>
      <c r="E30" s="57"/>
      <c r="F30" s="88" t="s">
        <v>91</v>
      </c>
      <c r="G30" s="89">
        <v>129.46</v>
      </c>
      <c r="H30" s="90" t="s">
        <v>92</v>
      </c>
      <c r="I30" s="84"/>
      <c r="J30" s="132" t="s">
        <v>93</v>
      </c>
      <c r="K30" s="133" t="s">
        <v>10</v>
      </c>
      <c r="L30" s="134"/>
      <c r="M30" s="135">
        <f>$P$3</f>
      </c>
      <c r="N30" s="136">
        <f>$D$15*D28</f>
      </c>
      <c r="O30" s="137">
        <f>M30*N30</f>
      </c>
      <c r="P30" s="80">
        <f>SUM(O30:O33)</f>
      </c>
    </row>
    <row x14ac:dyDescent="0.25" r="31" customHeight="1" ht="17.25">
      <c r="A31" s="1"/>
      <c r="B31" s="138"/>
      <c r="C31" s="114" t="s">
        <v>58</v>
      </c>
      <c r="D31" s="115">
        <v>1</v>
      </c>
      <c r="E31" s="57"/>
      <c r="F31" s="139" t="s">
        <v>94</v>
      </c>
      <c r="G31" s="140">
        <v>2.52</v>
      </c>
      <c r="H31" s="141" t="s">
        <v>95</v>
      </c>
      <c r="I31" s="84"/>
      <c r="J31" s="142"/>
      <c r="K31" s="133" t="s">
        <v>22</v>
      </c>
      <c r="L31" s="134"/>
      <c r="M31" s="135">
        <f>$P$7</f>
      </c>
      <c r="N31" s="136">
        <f>$D$15*D29</f>
      </c>
      <c r="O31" s="137">
        <f>M31*N31</f>
      </c>
      <c r="P31" s="143"/>
    </row>
    <row x14ac:dyDescent="0.25" r="32" customHeight="1" ht="17.25">
      <c r="A32" s="1"/>
      <c r="B32" s="113" t="s">
        <v>96</v>
      </c>
      <c r="C32" s="114" t="s">
        <v>10</v>
      </c>
      <c r="D32" s="144">
        <v>1</v>
      </c>
      <c r="E32" s="57"/>
      <c r="F32" s="57"/>
      <c r="G32" s="57"/>
      <c r="H32" s="1"/>
      <c r="I32" s="1"/>
      <c r="J32" s="142"/>
      <c r="K32" s="133" t="s">
        <v>90</v>
      </c>
      <c r="L32" s="134"/>
      <c r="M32" s="135">
        <f>$P$19</f>
      </c>
      <c r="N32" s="136">
        <f>$D$15*D30</f>
      </c>
      <c r="O32" s="137">
        <f>M32*N32</f>
      </c>
      <c r="P32" s="143"/>
    </row>
    <row x14ac:dyDescent="0.25" r="33" customHeight="1" ht="17.25">
      <c r="A33" s="1"/>
      <c r="B33" s="121"/>
      <c r="C33" s="114" t="s">
        <v>22</v>
      </c>
      <c r="D33" s="145">
        <v>0.4826</v>
      </c>
      <c r="E33" s="57"/>
      <c r="F33" s="57"/>
      <c r="G33" s="57"/>
      <c r="H33" s="1"/>
      <c r="I33" s="1"/>
      <c r="J33" s="142"/>
      <c r="K33" s="133" t="s">
        <v>58</v>
      </c>
      <c r="L33" s="134"/>
      <c r="M33" s="135">
        <f>$P$21</f>
      </c>
      <c r="N33" s="136">
        <f>$D$15*D31</f>
      </c>
      <c r="O33" s="137">
        <f>M33*N33</f>
      </c>
      <c r="P33" s="87"/>
    </row>
    <row x14ac:dyDescent="0.25" r="34" customHeight="1" ht="17.25">
      <c r="A34" s="1"/>
      <c r="B34" s="121"/>
      <c r="C34" s="114" t="s">
        <v>90</v>
      </c>
      <c r="D34" s="145">
        <v>0.4826</v>
      </c>
      <c r="E34" s="57"/>
      <c r="F34" s="57"/>
      <c r="G34" s="57"/>
      <c r="H34" s="1"/>
      <c r="I34" s="1"/>
      <c r="J34" s="146" t="s">
        <v>96</v>
      </c>
      <c r="K34" s="133" t="s">
        <v>10</v>
      </c>
      <c r="L34" s="134"/>
      <c r="M34" s="135">
        <f>$P$3</f>
      </c>
      <c r="N34" s="136">
        <f>D16</f>
      </c>
      <c r="O34" s="137">
        <f>M34*N34</f>
      </c>
      <c r="P34" s="80">
        <f>SUM(O34:O37)</f>
      </c>
    </row>
    <row x14ac:dyDescent="0.25" r="35" customHeight="1" ht="17.25">
      <c r="A35" s="1"/>
      <c r="B35" s="138"/>
      <c r="C35" s="114" t="s">
        <v>58</v>
      </c>
      <c r="D35" s="144">
        <v>0</v>
      </c>
      <c r="E35" s="57"/>
      <c r="F35" s="57"/>
      <c r="G35" s="57"/>
      <c r="H35" s="1"/>
      <c r="I35" s="1"/>
      <c r="J35" s="142"/>
      <c r="K35" s="133" t="s">
        <v>22</v>
      </c>
      <c r="L35" s="134"/>
      <c r="M35" s="135">
        <f>$P$7</f>
      </c>
      <c r="N35" s="136">
        <f>D17</f>
      </c>
      <c r="O35" s="137">
        <f>M35*N35</f>
      </c>
      <c r="P35" s="143"/>
    </row>
    <row x14ac:dyDescent="0.25" r="36" customHeight="1" ht="17.25">
      <c r="A36" s="1"/>
      <c r="B36" s="113" t="s">
        <v>97</v>
      </c>
      <c r="C36" s="114" t="s">
        <v>10</v>
      </c>
      <c r="D36" s="144">
        <v>1</v>
      </c>
      <c r="E36" s="57"/>
      <c r="F36" s="57"/>
      <c r="G36" s="57"/>
      <c r="H36" s="1"/>
      <c r="I36" s="1"/>
      <c r="J36" s="142"/>
      <c r="K36" s="133" t="s">
        <v>90</v>
      </c>
      <c r="L36" s="134"/>
      <c r="M36" s="135">
        <f>$P$19</f>
      </c>
      <c r="N36" s="136">
        <f>D17</f>
      </c>
      <c r="O36" s="137">
        <f>M36*N36</f>
      </c>
      <c r="P36" s="143"/>
    </row>
    <row x14ac:dyDescent="0.25" r="37" customHeight="1" ht="17.25">
      <c r="A37" s="1"/>
      <c r="B37" s="121"/>
      <c r="C37" s="114" t="s">
        <v>22</v>
      </c>
      <c r="D37" s="144">
        <v>1</v>
      </c>
      <c r="E37" s="57"/>
      <c r="F37" s="57"/>
      <c r="G37" s="57"/>
      <c r="H37" s="1"/>
      <c r="I37" s="1"/>
      <c r="J37" s="142"/>
      <c r="K37" s="133" t="s">
        <v>58</v>
      </c>
      <c r="L37" s="134"/>
      <c r="M37" s="135">
        <f>$P$21</f>
      </c>
      <c r="N37" s="136">
        <f>$D$17*D35</f>
      </c>
      <c r="O37" s="147">
        <f>M37*N37</f>
      </c>
      <c r="P37" s="87"/>
    </row>
    <row x14ac:dyDescent="0.25" r="38" customHeight="1" ht="17.25">
      <c r="A38" s="1"/>
      <c r="B38" s="121"/>
      <c r="C38" s="114" t="s">
        <v>90</v>
      </c>
      <c r="D38" s="144">
        <v>1</v>
      </c>
      <c r="E38" s="57"/>
      <c r="F38" s="57"/>
      <c r="G38" s="57"/>
      <c r="H38" s="1"/>
      <c r="I38" s="1"/>
      <c r="J38" s="146" t="s">
        <v>97</v>
      </c>
      <c r="K38" s="133" t="s">
        <v>10</v>
      </c>
      <c r="L38" s="134"/>
      <c r="M38" s="135">
        <f>$P$3</f>
      </c>
      <c r="N38" s="148">
        <f>D19</f>
      </c>
      <c r="O38" s="137">
        <f>M38*N38</f>
      </c>
      <c r="P38" s="80">
        <f>SUM(O38:O41)</f>
      </c>
    </row>
    <row x14ac:dyDescent="0.25" r="39" customHeight="1" ht="17.25">
      <c r="A39" s="1"/>
      <c r="B39" s="138"/>
      <c r="C39" s="114" t="s">
        <v>58</v>
      </c>
      <c r="D39" s="144">
        <v>1</v>
      </c>
      <c r="E39" s="57"/>
      <c r="F39" s="149" t="s">
        <v>98</v>
      </c>
      <c r="G39" s="57"/>
      <c r="H39" s="1"/>
      <c r="I39" s="1"/>
      <c r="J39" s="142"/>
      <c r="K39" s="133" t="s">
        <v>22</v>
      </c>
      <c r="L39" s="134"/>
      <c r="M39" s="135">
        <f>$P$7</f>
      </c>
      <c r="N39" s="148">
        <f>D19</f>
      </c>
      <c r="O39" s="137">
        <f>M39*N39</f>
      </c>
      <c r="P39" s="143"/>
    </row>
    <row x14ac:dyDescent="0.25" r="40" customHeight="1" ht="17.25">
      <c r="A40" s="1"/>
      <c r="B40" s="113" t="s">
        <v>99</v>
      </c>
      <c r="C40" s="114" t="s">
        <v>10</v>
      </c>
      <c r="D40" s="145">
        <v>0.168</v>
      </c>
      <c r="E40" s="57"/>
      <c r="F40" s="57"/>
      <c r="G40" s="57"/>
      <c r="H40" s="1"/>
      <c r="I40" s="1"/>
      <c r="J40" s="142"/>
      <c r="K40" s="133" t="s">
        <v>90</v>
      </c>
      <c r="L40" s="134"/>
      <c r="M40" s="135">
        <f>$P$19</f>
      </c>
      <c r="N40" s="148">
        <f>D19</f>
      </c>
      <c r="O40" s="137">
        <f>M40*N40</f>
      </c>
      <c r="P40" s="143"/>
    </row>
    <row x14ac:dyDescent="0.25" r="41" customHeight="1" ht="17.25">
      <c r="A41" s="1"/>
      <c r="B41" s="121"/>
      <c r="C41" s="114" t="s">
        <v>22</v>
      </c>
      <c r="D41" s="145">
        <v>0.353</v>
      </c>
      <c r="E41" s="57"/>
      <c r="F41" s="57"/>
      <c r="G41" s="57"/>
      <c r="H41" s="1"/>
      <c r="I41" s="1"/>
      <c r="J41" s="142"/>
      <c r="K41" s="133" t="s">
        <v>58</v>
      </c>
      <c r="L41" s="134"/>
      <c r="M41" s="135">
        <f>$P$21</f>
      </c>
      <c r="N41" s="148">
        <f>D19</f>
      </c>
      <c r="O41" s="137">
        <f>M41*N41</f>
      </c>
      <c r="P41" s="87"/>
    </row>
    <row x14ac:dyDescent="0.25" r="42" customHeight="1" ht="17.25">
      <c r="A42" s="1"/>
      <c r="B42" s="121"/>
      <c r="C42" s="114" t="s">
        <v>90</v>
      </c>
      <c r="D42" s="145">
        <v>0.353</v>
      </c>
      <c r="E42" s="57"/>
      <c r="F42" s="57"/>
      <c r="G42" s="57"/>
      <c r="H42" s="1"/>
      <c r="I42" s="1"/>
      <c r="J42" s="146" t="s">
        <v>99</v>
      </c>
      <c r="K42" s="133" t="s">
        <v>10</v>
      </c>
      <c r="L42" s="134"/>
      <c r="M42" s="135">
        <f>$P$3</f>
      </c>
      <c r="N42" s="148">
        <f>D18*D40</f>
      </c>
      <c r="O42" s="137">
        <f>M42*N42</f>
      </c>
      <c r="P42" s="80">
        <f>SUM(O42:O45)</f>
      </c>
    </row>
    <row x14ac:dyDescent="0.25" r="43" customHeight="1" ht="17.25">
      <c r="A43" s="1"/>
      <c r="B43" s="138"/>
      <c r="C43" s="114" t="s">
        <v>58</v>
      </c>
      <c r="D43" s="145">
        <v>0.216</v>
      </c>
      <c r="E43" s="57"/>
      <c r="F43" s="57"/>
      <c r="G43" s="57"/>
      <c r="H43" s="1"/>
      <c r="I43" s="1"/>
      <c r="J43" s="142"/>
      <c r="K43" s="133" t="s">
        <v>22</v>
      </c>
      <c r="L43" s="134"/>
      <c r="M43" s="135">
        <f>$P$7</f>
      </c>
      <c r="N43" s="148">
        <f>D18*D41</f>
      </c>
      <c r="O43" s="137">
        <f>M43*N43</f>
      </c>
      <c r="P43" s="143"/>
    </row>
    <row x14ac:dyDescent="0.25" r="44" customHeight="1" ht="17.25">
      <c r="A44" s="1"/>
      <c r="B44" s="113" t="s">
        <v>100</v>
      </c>
      <c r="C44" s="114" t="s">
        <v>10</v>
      </c>
      <c r="D44" s="144">
        <v>0</v>
      </c>
      <c r="E44" s="57"/>
      <c r="F44" s="57"/>
      <c r="G44" s="57"/>
      <c r="H44" s="1"/>
      <c r="I44" s="1"/>
      <c r="J44" s="142"/>
      <c r="K44" s="133" t="s">
        <v>90</v>
      </c>
      <c r="L44" s="134"/>
      <c r="M44" s="135">
        <f>$P$19</f>
      </c>
      <c r="N44" s="148">
        <f>D18*D42</f>
      </c>
      <c r="O44" s="137">
        <f>M44*N44</f>
      </c>
      <c r="P44" s="143"/>
    </row>
    <row x14ac:dyDescent="0.25" r="45" customHeight="1" ht="17.25">
      <c r="A45" s="1"/>
      <c r="B45" s="121"/>
      <c r="C45" s="114" t="s">
        <v>22</v>
      </c>
      <c r="D45" s="144">
        <v>1</v>
      </c>
      <c r="E45" s="57"/>
      <c r="F45" s="57"/>
      <c r="G45" s="57"/>
      <c r="H45" s="1"/>
      <c r="I45" s="1"/>
      <c r="J45" s="142"/>
      <c r="K45" s="133" t="s">
        <v>58</v>
      </c>
      <c r="L45" s="134"/>
      <c r="M45" s="135">
        <f>$P$21</f>
      </c>
      <c r="N45" s="148">
        <f>D18*D43</f>
      </c>
      <c r="O45" s="137">
        <f>M45*N45</f>
      </c>
      <c r="P45" s="87"/>
    </row>
    <row x14ac:dyDescent="0.25" r="46" customHeight="1" ht="17.25">
      <c r="A46" s="1"/>
      <c r="B46" s="121"/>
      <c r="C46" s="114" t="s">
        <v>90</v>
      </c>
      <c r="D46" s="144">
        <v>0</v>
      </c>
      <c r="E46" s="57"/>
      <c r="F46" s="57"/>
      <c r="G46" s="57"/>
      <c r="H46" s="1"/>
      <c r="I46" s="1"/>
      <c r="J46" s="132" t="s">
        <v>101</v>
      </c>
      <c r="K46" s="133" t="s">
        <v>10</v>
      </c>
      <c r="L46" s="134"/>
      <c r="M46" s="135">
        <f>$P$3</f>
      </c>
      <c r="N46" s="135">
        <v>0</v>
      </c>
      <c r="O46" s="147">
        <f>M46*N46</f>
      </c>
      <c r="P46" s="80">
        <f>SUM(O46:O52)</f>
      </c>
    </row>
    <row x14ac:dyDescent="0.25" r="47" customHeight="1" ht="17.25">
      <c r="A47" s="1"/>
      <c r="B47" s="138"/>
      <c r="C47" s="114" t="s">
        <v>58</v>
      </c>
      <c r="D47" s="115">
        <v>0</v>
      </c>
      <c r="E47" s="57"/>
      <c r="F47" s="57"/>
      <c r="G47" s="57"/>
      <c r="H47" s="1"/>
      <c r="I47" s="1"/>
      <c r="J47" s="142"/>
      <c r="K47" s="150" t="s">
        <v>22</v>
      </c>
      <c r="L47" s="114" t="s">
        <v>102</v>
      </c>
      <c r="M47" s="135">
        <f>O7</f>
      </c>
      <c r="N47" s="148">
        <f>D26*(G30+G31*D3)</f>
      </c>
      <c r="O47" s="137">
        <f>M47*N47</f>
      </c>
      <c r="P47" s="143"/>
    </row>
    <row x14ac:dyDescent="0.25" r="48" customHeight="1" ht="17.25">
      <c r="A48" s="1"/>
      <c r="B48" s="113" t="s">
        <v>103</v>
      </c>
      <c r="C48" s="114" t="s">
        <v>10</v>
      </c>
      <c r="D48" s="115">
        <v>0</v>
      </c>
      <c r="E48" s="57"/>
      <c r="F48" s="57"/>
      <c r="G48" s="57"/>
      <c r="H48" s="1"/>
      <c r="I48" s="1"/>
      <c r="J48" s="142"/>
      <c r="K48" s="151"/>
      <c r="L48" s="73" t="s">
        <v>104</v>
      </c>
      <c r="M48" s="135">
        <f>O11</f>
      </c>
      <c r="N48" s="148">
        <f>D26*(G30+G31*E3)</f>
      </c>
      <c r="O48" s="137">
        <f>M48*N48</f>
      </c>
      <c r="P48" s="143"/>
    </row>
    <row x14ac:dyDescent="0.25" r="49" customHeight="1" ht="17.25">
      <c r="A49" s="1"/>
      <c r="B49" s="121"/>
      <c r="C49" s="114" t="s">
        <v>22</v>
      </c>
      <c r="D49" s="115">
        <v>0</v>
      </c>
      <c r="E49" s="57"/>
      <c r="F49" s="57"/>
      <c r="G49" s="57"/>
      <c r="H49" s="1"/>
      <c r="I49" s="1"/>
      <c r="J49" s="142"/>
      <c r="K49" s="151"/>
      <c r="L49" s="73" t="s">
        <v>105</v>
      </c>
      <c r="M49" s="135">
        <f>O15</f>
      </c>
      <c r="N49" s="148">
        <f>D26*(G30+G31*F3)</f>
      </c>
      <c r="O49" s="137">
        <f>M49*N49</f>
      </c>
      <c r="P49" s="143"/>
    </row>
    <row x14ac:dyDescent="0.25" r="50" customHeight="1" ht="17.25">
      <c r="A50" s="1"/>
      <c r="B50" s="121"/>
      <c r="C50" s="114" t="s">
        <v>90</v>
      </c>
      <c r="D50" s="115">
        <v>1</v>
      </c>
      <c r="E50" s="57"/>
      <c r="F50" s="57"/>
      <c r="G50" s="57"/>
      <c r="H50" s="1"/>
      <c r="I50" s="1"/>
      <c r="J50" s="142"/>
      <c r="K50" s="152"/>
      <c r="L50" s="114" t="s">
        <v>106</v>
      </c>
      <c r="M50" s="135">
        <f>O17</f>
      </c>
      <c r="N50" s="148">
        <f>D26*(G30+G31*G3)</f>
      </c>
      <c r="O50" s="137">
        <f>M50*N50</f>
      </c>
      <c r="P50" s="143"/>
    </row>
    <row x14ac:dyDescent="0.25" r="51" customHeight="1" ht="17.25">
      <c r="A51" s="1"/>
      <c r="B51" s="138"/>
      <c r="C51" s="114" t="s">
        <v>58</v>
      </c>
      <c r="D51" s="115">
        <v>0</v>
      </c>
      <c r="E51" s="57"/>
      <c r="F51" s="57"/>
      <c r="G51" s="57"/>
      <c r="H51" s="1"/>
      <c r="I51" s="1"/>
      <c r="J51" s="142"/>
      <c r="K51" s="133" t="s">
        <v>90</v>
      </c>
      <c r="L51" s="134"/>
      <c r="M51" s="135">
        <f>$P$19</f>
      </c>
      <c r="N51" s="135">
        <v>0</v>
      </c>
      <c r="O51" s="147">
        <f>M51*N51</f>
      </c>
      <c r="P51" s="143"/>
    </row>
    <row x14ac:dyDescent="0.25" r="52" customHeight="1" ht="17.25">
      <c r="A52" s="1"/>
      <c r="B52" s="113" t="s">
        <v>107</v>
      </c>
      <c r="C52" s="114" t="s">
        <v>10</v>
      </c>
      <c r="D52" s="115">
        <v>1</v>
      </c>
      <c r="E52" s="57"/>
      <c r="F52" s="57"/>
      <c r="G52" s="57"/>
      <c r="H52" s="1"/>
      <c r="I52" s="1"/>
      <c r="J52" s="142"/>
      <c r="K52" s="133" t="s">
        <v>58</v>
      </c>
      <c r="L52" s="134"/>
      <c r="M52" s="135">
        <f>$P$21</f>
      </c>
      <c r="N52" s="135">
        <v>0</v>
      </c>
      <c r="O52" s="147">
        <f>M52*N52</f>
      </c>
      <c r="P52" s="87"/>
    </row>
    <row x14ac:dyDescent="0.25" r="53" customHeight="1" ht="17.25">
      <c r="A53" s="1"/>
      <c r="B53" s="121"/>
      <c r="C53" s="114" t="s">
        <v>22</v>
      </c>
      <c r="D53" s="115">
        <v>1</v>
      </c>
      <c r="E53" s="57"/>
      <c r="F53" s="57"/>
      <c r="G53" s="57"/>
      <c r="H53" s="1"/>
      <c r="I53" s="1"/>
      <c r="J53" s="146" t="s">
        <v>103</v>
      </c>
      <c r="K53" s="133" t="s">
        <v>10</v>
      </c>
      <c r="L53" s="134"/>
      <c r="M53" s="135">
        <f>$P$3</f>
      </c>
      <c r="N53" s="135">
        <v>0</v>
      </c>
      <c r="O53" s="147">
        <f>M53*N53</f>
      </c>
      <c r="P53" s="80">
        <f>SUM(O53:O56)</f>
      </c>
    </row>
    <row x14ac:dyDescent="0.25" r="54" customHeight="1" ht="17.25">
      <c r="A54" s="1"/>
      <c r="B54" s="121"/>
      <c r="C54" s="114" t="s">
        <v>90</v>
      </c>
      <c r="D54" s="115">
        <v>1</v>
      </c>
      <c r="E54" s="57"/>
      <c r="F54" s="57"/>
      <c r="G54" s="57"/>
      <c r="H54" s="1"/>
      <c r="I54" s="1"/>
      <c r="J54" s="142"/>
      <c r="K54" s="133" t="s">
        <v>22</v>
      </c>
      <c r="L54" s="134"/>
      <c r="M54" s="135">
        <f>$P$7</f>
      </c>
      <c r="N54" s="135">
        <v>0</v>
      </c>
      <c r="O54" s="147">
        <f>M54*N54</f>
      </c>
      <c r="P54" s="143"/>
    </row>
    <row x14ac:dyDescent="0.25" r="55" customHeight="1" ht="17.25">
      <c r="A55" s="1"/>
      <c r="B55" s="138"/>
      <c r="C55" s="114" t="s">
        <v>58</v>
      </c>
      <c r="D55" s="115">
        <v>0</v>
      </c>
      <c r="E55" s="57"/>
      <c r="F55" s="57"/>
      <c r="G55" s="57"/>
      <c r="H55" s="1"/>
      <c r="I55" s="1"/>
      <c r="J55" s="142"/>
      <c r="K55" s="133" t="s">
        <v>90</v>
      </c>
      <c r="L55" s="134"/>
      <c r="M55" s="135">
        <f>$P$19</f>
      </c>
      <c r="N55" s="148">
        <f>D20</f>
      </c>
      <c r="O55" s="137">
        <f>M55*N55</f>
      </c>
      <c r="P55" s="143"/>
    </row>
    <row x14ac:dyDescent="0.25" r="56" customHeight="1" ht="17.25">
      <c r="A56" s="1"/>
      <c r="B56" s="113" t="s">
        <v>108</v>
      </c>
      <c r="C56" s="114" t="s">
        <v>10</v>
      </c>
      <c r="D56" s="115">
        <v>0</v>
      </c>
      <c r="E56" s="57"/>
      <c r="F56" s="57"/>
      <c r="G56" s="57"/>
      <c r="H56" s="1"/>
      <c r="I56" s="1"/>
      <c r="J56" s="142"/>
      <c r="K56" s="133" t="s">
        <v>58</v>
      </c>
      <c r="L56" s="134"/>
      <c r="M56" s="135">
        <f>$P$21</f>
      </c>
      <c r="N56" s="135">
        <v>0</v>
      </c>
      <c r="O56" s="147">
        <f>M56*N56</f>
      </c>
      <c r="P56" s="87"/>
    </row>
    <row x14ac:dyDescent="0.25" r="57" customHeight="1" ht="17.25">
      <c r="A57" s="1"/>
      <c r="B57" s="121"/>
      <c r="C57" s="114" t="s">
        <v>22</v>
      </c>
      <c r="D57" s="115">
        <v>1</v>
      </c>
      <c r="E57" s="57"/>
      <c r="F57" s="57"/>
      <c r="G57" s="57"/>
      <c r="H57" s="1"/>
      <c r="I57" s="1"/>
      <c r="J57" s="146" t="s">
        <v>107</v>
      </c>
      <c r="K57" s="133" t="s">
        <v>10</v>
      </c>
      <c r="L57" s="134"/>
      <c r="M57" s="135">
        <f>$P$3</f>
      </c>
      <c r="N57" s="148">
        <f>D21</f>
      </c>
      <c r="O57" s="137">
        <f>M57*N57</f>
      </c>
      <c r="P57" s="80">
        <f>SUM(O57:O60)</f>
      </c>
    </row>
    <row x14ac:dyDescent="0.25" r="58" customHeight="1" ht="17.25">
      <c r="A58" s="1"/>
      <c r="B58" s="121"/>
      <c r="C58" s="114" t="s">
        <v>90</v>
      </c>
      <c r="D58" s="115">
        <v>1</v>
      </c>
      <c r="E58" s="57"/>
      <c r="F58" s="57"/>
      <c r="G58" s="57"/>
      <c r="H58" s="1"/>
      <c r="I58" s="1"/>
      <c r="J58" s="142"/>
      <c r="K58" s="133" t="s">
        <v>22</v>
      </c>
      <c r="L58" s="134"/>
      <c r="M58" s="135">
        <f>$P$7</f>
      </c>
      <c r="N58" s="148">
        <f>D21</f>
      </c>
      <c r="O58" s="137">
        <f>M58*N58</f>
      </c>
      <c r="P58" s="143"/>
    </row>
    <row x14ac:dyDescent="0.25" r="59" customHeight="1" ht="17.25">
      <c r="A59" s="1"/>
      <c r="B59" s="138"/>
      <c r="C59" s="114" t="s">
        <v>58</v>
      </c>
      <c r="D59" s="153">
        <v>0</v>
      </c>
      <c r="E59" s="57"/>
      <c r="F59" s="57"/>
      <c r="G59" s="57"/>
      <c r="H59" s="1"/>
      <c r="I59" s="1"/>
      <c r="J59" s="142"/>
      <c r="K59" s="133" t="s">
        <v>90</v>
      </c>
      <c r="L59" s="134"/>
      <c r="M59" s="135">
        <f>$P$19</f>
      </c>
      <c r="N59" s="148">
        <f>D21</f>
      </c>
      <c r="O59" s="137">
        <f>M59*N59</f>
      </c>
      <c r="P59" s="143"/>
    </row>
    <row x14ac:dyDescent="0.25" r="60" customHeight="1" ht="17.25">
      <c r="A60" s="1"/>
      <c r="B60" s="1"/>
      <c r="C60" s="1"/>
      <c r="D60" s="56"/>
      <c r="E60" s="57"/>
      <c r="F60" s="57"/>
      <c r="G60" s="57"/>
      <c r="H60" s="1"/>
      <c r="I60" s="1"/>
      <c r="J60" s="142"/>
      <c r="K60" s="133" t="s">
        <v>58</v>
      </c>
      <c r="L60" s="134"/>
      <c r="M60" s="135">
        <f>$P$21</f>
      </c>
      <c r="N60" s="135">
        <v>0</v>
      </c>
      <c r="O60" s="147">
        <f>M60*N60</f>
      </c>
      <c r="P60" s="87"/>
    </row>
    <row x14ac:dyDescent="0.25" r="61" customHeight="1" ht="17.25">
      <c r="A61" s="1"/>
      <c r="B61" s="1"/>
      <c r="C61" s="1"/>
      <c r="D61" s="56"/>
      <c r="E61" s="57"/>
      <c r="F61" s="57"/>
      <c r="G61" s="57"/>
      <c r="H61" s="1"/>
      <c r="I61" s="1"/>
      <c r="J61" s="146" t="s">
        <v>108</v>
      </c>
      <c r="K61" s="133" t="s">
        <v>10</v>
      </c>
      <c r="L61" s="134"/>
      <c r="M61" s="135">
        <f>$P$3</f>
      </c>
      <c r="N61" s="135">
        <v>0</v>
      </c>
      <c r="O61" s="147">
        <f>M61*N61</f>
      </c>
      <c r="P61" s="80">
        <f>SUM(O61:O64)</f>
      </c>
    </row>
    <row x14ac:dyDescent="0.25" r="62" customHeight="1" ht="17.25">
      <c r="A62" s="1"/>
      <c r="B62" s="1"/>
      <c r="C62" s="1"/>
      <c r="D62" s="56"/>
      <c r="E62" s="57"/>
      <c r="F62" s="57"/>
      <c r="G62" s="57"/>
      <c r="H62" s="1"/>
      <c r="I62" s="1"/>
      <c r="J62" s="142"/>
      <c r="K62" s="133" t="s">
        <v>22</v>
      </c>
      <c r="L62" s="134"/>
      <c r="M62" s="135">
        <f>$P$7</f>
      </c>
      <c r="N62" s="148">
        <f>D22</f>
      </c>
      <c r="O62" s="137">
        <f>M62*N62</f>
      </c>
      <c r="P62" s="143"/>
    </row>
    <row x14ac:dyDescent="0.25" r="63" customHeight="1" ht="17.25">
      <c r="A63" s="1"/>
      <c r="B63" s="1"/>
      <c r="C63" s="1"/>
      <c r="D63" s="56"/>
      <c r="E63" s="57"/>
      <c r="F63" s="57"/>
      <c r="G63" s="57"/>
      <c r="H63" s="1"/>
      <c r="I63" s="1"/>
      <c r="J63" s="142"/>
      <c r="K63" s="133" t="s">
        <v>90</v>
      </c>
      <c r="L63" s="134"/>
      <c r="M63" s="135">
        <f>$P$19</f>
      </c>
      <c r="N63" s="148">
        <f>D22</f>
      </c>
      <c r="O63" s="137">
        <f>M63*N63</f>
      </c>
      <c r="P63" s="143"/>
    </row>
    <row x14ac:dyDescent="0.25" r="64" customHeight="1" ht="17.25">
      <c r="A64" s="1"/>
      <c r="B64" s="1"/>
      <c r="C64" s="1"/>
      <c r="D64" s="56"/>
      <c r="E64" s="57"/>
      <c r="F64" s="57"/>
      <c r="G64" s="57"/>
      <c r="H64" s="1"/>
      <c r="I64" s="1"/>
      <c r="J64" s="142"/>
      <c r="K64" s="133" t="s">
        <v>58</v>
      </c>
      <c r="L64" s="134"/>
      <c r="M64" s="135">
        <f>$P$21</f>
      </c>
      <c r="N64" s="135">
        <v>0</v>
      </c>
      <c r="O64" s="147">
        <f>M64*N64</f>
      </c>
      <c r="P64" s="87"/>
    </row>
    <row x14ac:dyDescent="0.25" r="65" customHeight="1" ht="17.25">
      <c r="A65" s="1"/>
      <c r="B65" s="1"/>
      <c r="C65" s="1"/>
      <c r="D65" s="56"/>
      <c r="E65" s="57"/>
      <c r="F65" s="57"/>
      <c r="G65" s="57"/>
      <c r="H65" s="1"/>
      <c r="I65" s="1"/>
      <c r="J65" s="154"/>
      <c r="K65" s="73"/>
      <c r="L65" s="73"/>
      <c r="M65" s="155"/>
      <c r="N65" s="155"/>
      <c r="O65" s="155"/>
      <c r="P65" s="156"/>
    </row>
    <row x14ac:dyDescent="0.25" r="66" customHeight="1" ht="17.25">
      <c r="A66" s="1"/>
      <c r="B66" s="1"/>
      <c r="C66" s="1"/>
      <c r="D66" s="56"/>
      <c r="E66" s="57"/>
      <c r="F66" s="57"/>
      <c r="G66" s="57"/>
      <c r="H66" s="1"/>
      <c r="I66" s="1"/>
      <c r="J66" s="157"/>
      <c r="K66" s="158"/>
      <c r="L66" s="158"/>
      <c r="M66" s="99"/>
      <c r="N66" s="99" t="s">
        <v>109</v>
      </c>
      <c r="O66" s="99"/>
      <c r="P66" s="159">
        <f>SUM(P30:P64)</f>
      </c>
    </row>
  </sheetData>
  <mergeCells count="110">
    <mergeCell ref="B1:G1"/>
    <mergeCell ref="J1:P1"/>
    <mergeCell ref="B2:C2"/>
    <mergeCell ref="J2:K2"/>
    <mergeCell ref="L2:M2"/>
    <mergeCell ref="N2:P2"/>
    <mergeCell ref="B3:C3"/>
    <mergeCell ref="J3:K6"/>
    <mergeCell ref="N3:N4"/>
    <mergeCell ref="O3:O4"/>
    <mergeCell ref="P3:P6"/>
    <mergeCell ref="B4:C4"/>
    <mergeCell ref="B5:C5"/>
    <mergeCell ref="N5:N6"/>
    <mergeCell ref="O5:O6"/>
    <mergeCell ref="B6:C6"/>
    <mergeCell ref="B7:C7"/>
    <mergeCell ref="D7:G7"/>
    <mergeCell ref="J7:K18"/>
    <mergeCell ref="N7:N10"/>
    <mergeCell ref="O7:O10"/>
    <mergeCell ref="P7:P18"/>
    <mergeCell ref="B8:C8"/>
    <mergeCell ref="D8:G8"/>
    <mergeCell ref="B9:C9"/>
    <mergeCell ref="D9:G9"/>
    <mergeCell ref="B10:C10"/>
    <mergeCell ref="D10:G10"/>
    <mergeCell ref="N11:N14"/>
    <mergeCell ref="O11:O14"/>
    <mergeCell ref="B13:D13"/>
    <mergeCell ref="F13:G13"/>
    <mergeCell ref="N15:N16"/>
    <mergeCell ref="O15:O16"/>
    <mergeCell ref="N17:N18"/>
    <mergeCell ref="O17:O18"/>
    <mergeCell ref="F19:H19"/>
    <mergeCell ref="J19:K20"/>
    <mergeCell ref="L19:L20"/>
    <mergeCell ref="M19:M20"/>
    <mergeCell ref="N19:N20"/>
    <mergeCell ref="O19:O20"/>
    <mergeCell ref="P19:P20"/>
    <mergeCell ref="F20:H20"/>
    <mergeCell ref="J21:K22"/>
    <mergeCell ref="N21:N22"/>
    <mergeCell ref="O21:O22"/>
    <mergeCell ref="P21:P22"/>
    <mergeCell ref="J23:M23"/>
    <mergeCell ref="L27:P27"/>
    <mergeCell ref="B28:B31"/>
    <mergeCell ref="J28:P28"/>
    <mergeCell ref="F29:H29"/>
    <mergeCell ref="K29:L29"/>
    <mergeCell ref="O29:P29"/>
    <mergeCell ref="J30:J33"/>
    <mergeCell ref="K30:L30"/>
    <mergeCell ref="P30:P33"/>
    <mergeCell ref="K31:L31"/>
    <mergeCell ref="B32:B35"/>
    <mergeCell ref="K32:L32"/>
    <mergeCell ref="K33:L33"/>
    <mergeCell ref="J34:J37"/>
    <mergeCell ref="K34:L34"/>
    <mergeCell ref="P34:P37"/>
    <mergeCell ref="K35:L35"/>
    <mergeCell ref="B36:B39"/>
    <mergeCell ref="K36:L36"/>
    <mergeCell ref="K37:L37"/>
    <mergeCell ref="J38:J41"/>
    <mergeCell ref="K38:L38"/>
    <mergeCell ref="P38:P41"/>
    <mergeCell ref="K39:L39"/>
    <mergeCell ref="B40:B43"/>
    <mergeCell ref="K40:L40"/>
    <mergeCell ref="K41:L41"/>
    <mergeCell ref="J42:J45"/>
    <mergeCell ref="K42:L42"/>
    <mergeCell ref="P42:P45"/>
    <mergeCell ref="K43:L43"/>
    <mergeCell ref="B44:B47"/>
    <mergeCell ref="K44:L44"/>
    <mergeCell ref="K45:L45"/>
    <mergeCell ref="J46:J52"/>
    <mergeCell ref="K46:L46"/>
    <mergeCell ref="P46:P52"/>
    <mergeCell ref="K47:K50"/>
    <mergeCell ref="B48:B51"/>
    <mergeCell ref="K51:L51"/>
    <mergeCell ref="B52:B55"/>
    <mergeCell ref="K52:L52"/>
    <mergeCell ref="J53:J56"/>
    <mergeCell ref="K53:L53"/>
    <mergeCell ref="P53:P56"/>
    <mergeCell ref="K54:L54"/>
    <mergeCell ref="K55:L55"/>
    <mergeCell ref="B56:B59"/>
    <mergeCell ref="K56:L56"/>
    <mergeCell ref="J57:J60"/>
    <mergeCell ref="K57:L57"/>
    <mergeCell ref="P57:P60"/>
    <mergeCell ref="K58:L58"/>
    <mergeCell ref="K59:L59"/>
    <mergeCell ref="K60:L60"/>
    <mergeCell ref="J61:J64"/>
    <mergeCell ref="K61:L61"/>
    <mergeCell ref="P61:P64"/>
    <mergeCell ref="K62:L62"/>
    <mergeCell ref="K63:L63"/>
    <mergeCell ref="K64:L6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能耗模型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2024-07-29T02:52:13.489Z</dcterms:created>
  <dcterms:modified xsi:type="dcterms:W3CDTF">2024-07-29T02:52:13.489Z</dcterms:modified>
</cp:coreProperties>
</file>